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ortofolio\Excel\CoffeeOrder\"/>
    </mc:Choice>
  </mc:AlternateContent>
  <xr:revisionPtr revIDLastSave="0" documentId="13_ncr:1_{220A7363-6ED1-4538-BE7D-2A9173E7C679}" xr6:coauthVersionLast="47" xr6:coauthVersionMax="47" xr10:uidLastSave="{00000000-0000-0000-0000-000000000000}"/>
  <bookViews>
    <workbookView xWindow="-110" yWindow="-110" windowWidth="19420" windowHeight="10300" tabRatio="823" xr2:uid="{00000000-000D-0000-FFFF-FFFF00000000}"/>
  </bookViews>
  <sheets>
    <sheet name="Dashboard" sheetId="24" r:id="rId1"/>
    <sheet name="TOP5Customers" sheetId="23" r:id="rId2"/>
    <sheet name="CountryBarChart" sheetId="19" r:id="rId3"/>
    <sheet name="Total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a">customers!$XES$11</definedName>
    <definedName name="NativeTimeline_Order_Date">#N/A</definedName>
    <definedName name="Slicer_Loyalty_Card">#N/A</definedName>
    <definedName name="Slicer_Roast_Type_Name">#N/A</definedName>
    <definedName name="Slicer_Size">#N/A</definedName>
  </definedNames>
  <calcPr calcId="191028"/>
  <pivotCaches>
    <pivotCache cacheId="6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O33" i="17"/>
  <c r="O41" i="17"/>
  <c r="O54" i="17"/>
  <c r="O61" i="17"/>
  <c r="O89" i="17"/>
  <c r="O118" i="17"/>
  <c r="O129" i="17"/>
  <c r="O185" i="17"/>
  <c r="O193" i="17"/>
  <c r="O205" i="17"/>
  <c r="O225" i="17"/>
  <c r="O242" i="17"/>
  <c r="O249" i="17"/>
  <c r="O269" i="17"/>
  <c r="O281" i="17"/>
  <c r="O306" i="17"/>
  <c r="O318" i="17"/>
  <c r="O382" i="17"/>
  <c r="O410" i="17"/>
  <c r="O430" i="17"/>
  <c r="O437" i="17"/>
  <c r="O473" i="17"/>
  <c r="O480" i="17"/>
  <c r="O501" i="17"/>
  <c r="O537" i="17"/>
  <c r="O544" i="17"/>
  <c r="O565" i="17"/>
  <c r="O601" i="17"/>
  <c r="O608" i="17"/>
  <c r="O629" i="17"/>
  <c r="O665" i="17"/>
  <c r="O672" i="17"/>
  <c r="O701" i="17"/>
  <c r="O720" i="17"/>
  <c r="O729" i="17"/>
  <c r="O749" i="17"/>
  <c r="O757" i="17"/>
  <c r="O777" i="17"/>
  <c r="O805" i="17"/>
  <c r="O829" i="17"/>
  <c r="O848" i="17"/>
  <c r="O857" i="17"/>
  <c r="O862" i="17"/>
  <c r="O869" i="17"/>
  <c r="O873" i="17"/>
  <c r="O890" i="17"/>
  <c r="O894" i="17"/>
  <c r="O901" i="17"/>
  <c r="O905" i="17"/>
  <c r="O922" i="17"/>
  <c r="O926" i="17"/>
  <c r="O933" i="17"/>
  <c r="O937" i="17"/>
  <c r="O954" i="17"/>
  <c r="O958" i="17"/>
  <c r="O965" i="17"/>
  <c r="O969" i="17"/>
  <c r="O986" i="17"/>
  <c r="O990" i="17"/>
  <c r="O997" i="17"/>
  <c r="O1001" i="17"/>
  <c r="N18" i="17"/>
  <c r="N22" i="17"/>
  <c r="N29" i="17"/>
  <c r="N33" i="17"/>
  <c r="N50" i="17"/>
  <c r="N54" i="17"/>
  <c r="N61" i="17"/>
  <c r="N65" i="17"/>
  <c r="N82" i="17"/>
  <c r="N86" i="17"/>
  <c r="N93" i="17"/>
  <c r="N97" i="17"/>
  <c r="N114" i="17"/>
  <c r="N118" i="17"/>
  <c r="N125" i="17"/>
  <c r="N129" i="17"/>
  <c r="N150" i="17"/>
  <c r="N157" i="17"/>
  <c r="N161" i="17"/>
  <c r="N182" i="17"/>
  <c r="N189" i="17"/>
  <c r="N193" i="17"/>
  <c r="N221" i="17"/>
  <c r="N225" i="17"/>
  <c r="N253" i="17"/>
  <c r="N257" i="17"/>
  <c r="N285" i="17"/>
  <c r="N289" i="17"/>
  <c r="N317" i="17"/>
  <c r="N321" i="17"/>
  <c r="N349" i="17"/>
  <c r="N353" i="17"/>
  <c r="N381" i="17"/>
  <c r="N385" i="17"/>
  <c r="N401" i="17"/>
  <c r="N413" i="17"/>
  <c r="N421" i="17"/>
  <c r="N429" i="17"/>
  <c r="N437" i="17"/>
  <c r="N449" i="17"/>
  <c r="N450" i="17"/>
  <c r="N465" i="17"/>
  <c r="N477" i="17"/>
  <c r="N485" i="17"/>
  <c r="N493" i="17"/>
  <c r="N501" i="17"/>
  <c r="N513" i="17"/>
  <c r="N514" i="17"/>
  <c r="N529" i="17"/>
  <c r="N541" i="17"/>
  <c r="N549" i="17"/>
  <c r="N557" i="17"/>
  <c r="N565" i="17"/>
  <c r="N577" i="17"/>
  <c r="N578" i="17"/>
  <c r="N593" i="17"/>
  <c r="N605" i="17"/>
  <c r="N613" i="17"/>
  <c r="N621" i="17"/>
  <c r="N629" i="17"/>
  <c r="N641" i="17"/>
  <c r="N642" i="17"/>
  <c r="N657" i="17"/>
  <c r="N669" i="17"/>
  <c r="N677" i="17"/>
  <c r="N685" i="17"/>
  <c r="N693" i="17"/>
  <c r="N705" i="17"/>
  <c r="N706" i="17"/>
  <c r="N730" i="17"/>
  <c r="N778" i="17"/>
  <c r="N788" i="17"/>
  <c r="N810" i="17"/>
  <c r="N820" i="17"/>
  <c r="N842" i="17"/>
  <c r="N852" i="17"/>
  <c r="N874" i="17"/>
  <c r="N884" i="17"/>
  <c r="N906" i="17"/>
  <c r="N916" i="17"/>
  <c r="N938" i="17"/>
  <c r="N948" i="17"/>
  <c r="N970" i="17"/>
  <c r="N980" i="17"/>
  <c r="N2" i="17"/>
  <c r="M3" i="17"/>
  <c r="M6" i="17"/>
  <c r="M7" i="17"/>
  <c r="M11" i="17"/>
  <c r="M12" i="17"/>
  <c r="M15" i="17"/>
  <c r="M16" i="17"/>
  <c r="M18" i="17"/>
  <c r="M19" i="17"/>
  <c r="M22" i="17"/>
  <c r="M23" i="17"/>
  <c r="M27" i="17"/>
  <c r="M28" i="17"/>
  <c r="M31" i="17"/>
  <c r="M32" i="17"/>
  <c r="M34" i="17"/>
  <c r="M35" i="17"/>
  <c r="M38" i="17"/>
  <c r="M39" i="17"/>
  <c r="M43" i="17"/>
  <c r="M44" i="17"/>
  <c r="M47" i="17"/>
  <c r="M48" i="17"/>
  <c r="M50" i="17"/>
  <c r="M51" i="17"/>
  <c r="M54" i="17"/>
  <c r="M55" i="17"/>
  <c r="M59" i="17"/>
  <c r="M60" i="17"/>
  <c r="M63" i="17"/>
  <c r="M64" i="17"/>
  <c r="M66" i="17"/>
  <c r="M67" i="17"/>
  <c r="M70" i="17"/>
  <c r="M71" i="17"/>
  <c r="M75" i="17"/>
  <c r="M76" i="17"/>
  <c r="M79" i="17"/>
  <c r="M80" i="17"/>
  <c r="M82" i="17"/>
  <c r="M83" i="17"/>
  <c r="M86" i="17"/>
  <c r="M87" i="17"/>
  <c r="M91" i="17"/>
  <c r="M92" i="17"/>
  <c r="M95" i="17"/>
  <c r="M96" i="17"/>
  <c r="M98" i="17"/>
  <c r="M99" i="17"/>
  <c r="M102" i="17"/>
  <c r="M103" i="17"/>
  <c r="M107" i="17"/>
  <c r="M108" i="17"/>
  <c r="M111" i="17"/>
  <c r="M112" i="17"/>
  <c r="M114" i="17"/>
  <c r="M115" i="17"/>
  <c r="M118" i="17"/>
  <c r="M119" i="17"/>
  <c r="M123" i="17"/>
  <c r="M124" i="17"/>
  <c r="M127" i="17"/>
  <c r="M128" i="17"/>
  <c r="M130" i="17"/>
  <c r="M131" i="17"/>
  <c r="M134" i="17"/>
  <c r="M135" i="17"/>
  <c r="M139" i="17"/>
  <c r="M140" i="17"/>
  <c r="M143" i="17"/>
  <c r="M144" i="17"/>
  <c r="M146" i="17"/>
  <c r="M147" i="17"/>
  <c r="M150" i="17"/>
  <c r="M151" i="17"/>
  <c r="M155" i="17"/>
  <c r="M156" i="17"/>
  <c r="M159" i="17"/>
  <c r="M160" i="17"/>
  <c r="M162" i="17"/>
  <c r="M163" i="17"/>
  <c r="M166" i="17"/>
  <c r="M167" i="17"/>
  <c r="M171" i="17"/>
  <c r="M172" i="17"/>
  <c r="M175" i="17"/>
  <c r="M176" i="17"/>
  <c r="M178" i="17"/>
  <c r="M179" i="17"/>
  <c r="M182" i="17"/>
  <c r="M183" i="17"/>
  <c r="M187" i="17"/>
  <c r="M188" i="17"/>
  <c r="M191" i="17"/>
  <c r="M192" i="17"/>
  <c r="M194" i="17"/>
  <c r="M195" i="17"/>
  <c r="M198" i="17"/>
  <c r="M199" i="17"/>
  <c r="M203" i="17"/>
  <c r="M204" i="17"/>
  <c r="M207" i="17"/>
  <c r="M208" i="17"/>
  <c r="M210" i="17"/>
  <c r="M211" i="17"/>
  <c r="M214" i="17"/>
  <c r="M215" i="17"/>
  <c r="M219" i="17"/>
  <c r="M220" i="17"/>
  <c r="M223" i="17"/>
  <c r="M224" i="17"/>
  <c r="M226" i="17"/>
  <c r="M227" i="17"/>
  <c r="M230" i="17"/>
  <c r="M231" i="17"/>
  <c r="M235" i="17"/>
  <c r="M236" i="17"/>
  <c r="M239" i="17"/>
  <c r="M240" i="17"/>
  <c r="M242" i="17"/>
  <c r="M243" i="17"/>
  <c r="M246" i="17"/>
  <c r="M247" i="17"/>
  <c r="M251" i="17"/>
  <c r="M252" i="17"/>
  <c r="M255" i="17"/>
  <c r="M256" i="17"/>
  <c r="M258" i="17"/>
  <c r="M259" i="17"/>
  <c r="M262" i="17"/>
  <c r="M263" i="17"/>
  <c r="M267" i="17"/>
  <c r="M268" i="17"/>
  <c r="M271" i="17"/>
  <c r="M272" i="17"/>
  <c r="M274" i="17"/>
  <c r="M275" i="17"/>
  <c r="M278" i="17"/>
  <c r="M279" i="17"/>
  <c r="M283" i="17"/>
  <c r="M284" i="17"/>
  <c r="M287" i="17"/>
  <c r="M288" i="17"/>
  <c r="M290" i="17"/>
  <c r="M291" i="17"/>
  <c r="M294" i="17"/>
  <c r="M295" i="17"/>
  <c r="M299" i="17"/>
  <c r="M300" i="17"/>
  <c r="M303" i="17"/>
  <c r="M304" i="17"/>
  <c r="M306" i="17"/>
  <c r="M307" i="17"/>
  <c r="M310" i="17"/>
  <c r="M311" i="17"/>
  <c r="M315" i="17"/>
  <c r="M316" i="17"/>
  <c r="M319" i="17"/>
  <c r="M320" i="17"/>
  <c r="M322" i="17"/>
  <c r="M323" i="17"/>
  <c r="M326" i="17"/>
  <c r="M327" i="17"/>
  <c r="M331" i="17"/>
  <c r="M332" i="17"/>
  <c r="M335" i="17"/>
  <c r="M336" i="17"/>
  <c r="M338" i="17"/>
  <c r="M339" i="17"/>
  <c r="M342" i="17"/>
  <c r="M343" i="17"/>
  <c r="M347" i="17"/>
  <c r="M348" i="17"/>
  <c r="M351" i="17"/>
  <c r="M352" i="17"/>
  <c r="M354" i="17"/>
  <c r="M355" i="17"/>
  <c r="M359" i="17"/>
  <c r="M363" i="17"/>
  <c r="M364" i="17"/>
  <c r="M367" i="17"/>
  <c r="M368" i="17"/>
  <c r="M370" i="17"/>
  <c r="M371" i="17"/>
  <c r="M375" i="17"/>
  <c r="M379" i="17"/>
  <c r="M380" i="17"/>
  <c r="M383" i="17"/>
  <c r="M384" i="17"/>
  <c r="M386" i="17"/>
  <c r="M387" i="17"/>
  <c r="M391" i="17"/>
  <c r="M395" i="17"/>
  <c r="M396" i="17"/>
  <c r="M399" i="17"/>
  <c r="M400" i="17"/>
  <c r="M402" i="17"/>
  <c r="M403" i="17"/>
  <c r="M407" i="17"/>
  <c r="M411" i="17"/>
  <c r="M412" i="17"/>
  <c r="M415" i="17"/>
  <c r="M416" i="17"/>
  <c r="M418" i="17"/>
  <c r="M419" i="17"/>
  <c r="M423" i="17"/>
  <c r="M427" i="17"/>
  <c r="M428" i="17"/>
  <c r="M431" i="17"/>
  <c r="M432" i="17"/>
  <c r="M434" i="17"/>
  <c r="M435" i="17"/>
  <c r="M439" i="17"/>
  <c r="M443" i="17"/>
  <c r="M444" i="17"/>
  <c r="M447" i="17"/>
  <c r="M448" i="17"/>
  <c r="M450" i="17"/>
  <c r="M451" i="17"/>
  <c r="M455" i="17"/>
  <c r="M459" i="17"/>
  <c r="M460" i="17"/>
  <c r="M463" i="17"/>
  <c r="M464" i="17"/>
  <c r="M466" i="17"/>
  <c r="M467" i="17"/>
  <c r="M471" i="17"/>
  <c r="M475" i="17"/>
  <c r="M476" i="17"/>
  <c r="M479" i="17"/>
  <c r="M480" i="17"/>
  <c r="M482" i="17"/>
  <c r="M483" i="17"/>
  <c r="M487" i="17"/>
  <c r="M491" i="17"/>
  <c r="M492" i="17"/>
  <c r="M495" i="17"/>
  <c r="M496" i="17"/>
  <c r="M498" i="17"/>
  <c r="M499" i="17"/>
  <c r="M503" i="17"/>
  <c r="M507" i="17"/>
  <c r="M508" i="17"/>
  <c r="M511" i="17"/>
  <c r="M512" i="17"/>
  <c r="M514" i="17"/>
  <c r="M515" i="17"/>
  <c r="M519" i="17"/>
  <c r="M523" i="17"/>
  <c r="M524" i="17"/>
  <c r="M527" i="17"/>
  <c r="M528" i="17"/>
  <c r="M530" i="17"/>
  <c r="M531" i="17"/>
  <c r="M535" i="17"/>
  <c r="M539" i="17"/>
  <c r="M540" i="17"/>
  <c r="M543" i="17"/>
  <c r="M544" i="17"/>
  <c r="M546" i="17"/>
  <c r="M547" i="17"/>
  <c r="M551" i="17"/>
  <c r="M555" i="17"/>
  <c r="M556" i="17"/>
  <c r="M559" i="17"/>
  <c r="M560" i="17"/>
  <c r="M562" i="17"/>
  <c r="M563" i="17"/>
  <c r="M567" i="17"/>
  <c r="M571" i="17"/>
  <c r="M572" i="17"/>
  <c r="M575" i="17"/>
  <c r="M576" i="17"/>
  <c r="M578" i="17"/>
  <c r="M579" i="17"/>
  <c r="M583" i="17"/>
  <c r="M587" i="17"/>
  <c r="M588" i="17"/>
  <c r="M591" i="17"/>
  <c r="M592" i="17"/>
  <c r="M594" i="17"/>
  <c r="M595" i="17"/>
  <c r="M599" i="17"/>
  <c r="M603" i="17"/>
  <c r="M604" i="17"/>
  <c r="M607" i="17"/>
  <c r="M608" i="17"/>
  <c r="M610" i="17"/>
  <c r="M611" i="17"/>
  <c r="M615" i="17"/>
  <c r="M619" i="17"/>
  <c r="M620" i="17"/>
  <c r="M623" i="17"/>
  <c r="M624" i="17"/>
  <c r="M626" i="17"/>
  <c r="M627" i="17"/>
  <c r="M631" i="17"/>
  <c r="M635" i="17"/>
  <c r="M636" i="17"/>
  <c r="M639" i="17"/>
  <c r="M640" i="17"/>
  <c r="M642" i="17"/>
  <c r="M643" i="17"/>
  <c r="M647" i="17"/>
  <c r="M651" i="17"/>
  <c r="M652" i="17"/>
  <c r="M655" i="17"/>
  <c r="M656" i="17"/>
  <c r="M658" i="17"/>
  <c r="M659" i="17"/>
  <c r="M663" i="17"/>
  <c r="M667" i="17"/>
  <c r="M668" i="17"/>
  <c r="M671" i="17"/>
  <c r="M672" i="17"/>
  <c r="M674" i="17"/>
  <c r="M675" i="17"/>
  <c r="M679" i="17"/>
  <c r="M683" i="17"/>
  <c r="M684" i="17"/>
  <c r="M687" i="17"/>
  <c r="M688" i="17"/>
  <c r="M690" i="17"/>
  <c r="M691" i="17"/>
  <c r="M695" i="17"/>
  <c r="M699" i="17"/>
  <c r="M700" i="17"/>
  <c r="M703" i="17"/>
  <c r="M704" i="17"/>
  <c r="M706" i="17"/>
  <c r="M707" i="17"/>
  <c r="M711" i="17"/>
  <c r="M715" i="17"/>
  <c r="M716" i="17"/>
  <c r="M719" i="17"/>
  <c r="M720" i="17"/>
  <c r="M722" i="17"/>
  <c r="M723" i="17"/>
  <c r="M727" i="17"/>
  <c r="M731" i="17"/>
  <c r="M732" i="17"/>
  <c r="M735" i="17"/>
  <c r="M736" i="17"/>
  <c r="M738" i="17"/>
  <c r="M739" i="17"/>
  <c r="M743" i="17"/>
  <c r="M747" i="17"/>
  <c r="M748" i="17"/>
  <c r="M751" i="17"/>
  <c r="M752" i="17"/>
  <c r="M754" i="17"/>
  <c r="M755" i="17"/>
  <c r="M759" i="17"/>
  <c r="M763" i="17"/>
  <c r="M764" i="17"/>
  <c r="M767" i="17"/>
  <c r="M768" i="17"/>
  <c r="M770" i="17"/>
  <c r="M771" i="17"/>
  <c r="M775" i="17"/>
  <c r="M779" i="17"/>
  <c r="M780" i="17"/>
  <c r="M783" i="17"/>
  <c r="M784" i="17"/>
  <c r="M786" i="17"/>
  <c r="M787" i="17"/>
  <c r="M791" i="17"/>
  <c r="M795" i="17"/>
  <c r="M796" i="17"/>
  <c r="M799" i="17"/>
  <c r="M800" i="17"/>
  <c r="M802" i="17"/>
  <c r="M803" i="17"/>
  <c r="M807" i="17"/>
  <c r="M811" i="17"/>
  <c r="M812" i="17"/>
  <c r="M815" i="17"/>
  <c r="M816" i="17"/>
  <c r="M818" i="17"/>
  <c r="M819" i="17"/>
  <c r="M823" i="17"/>
  <c r="M827" i="17"/>
  <c r="M828" i="17"/>
  <c r="M831" i="17"/>
  <c r="M832" i="17"/>
  <c r="M834" i="17"/>
  <c r="M835" i="17"/>
  <c r="M839" i="17"/>
  <c r="M843" i="17"/>
  <c r="M844" i="17"/>
  <c r="M847" i="17"/>
  <c r="M848" i="17"/>
  <c r="M850" i="17"/>
  <c r="M851" i="17"/>
  <c r="M855" i="17"/>
  <c r="M859" i="17"/>
  <c r="M860" i="17"/>
  <c r="M863" i="17"/>
  <c r="M864" i="17"/>
  <c r="M866" i="17"/>
  <c r="M867" i="17"/>
  <c r="M871" i="17"/>
  <c r="M875" i="17"/>
  <c r="M876" i="17"/>
  <c r="M879" i="17"/>
  <c r="M880" i="17"/>
  <c r="M882" i="17"/>
  <c r="M883" i="17"/>
  <c r="M887" i="17"/>
  <c r="M891" i="17"/>
  <c r="M892" i="17"/>
  <c r="M895" i="17"/>
  <c r="M896" i="17"/>
  <c r="M898" i="17"/>
  <c r="M899" i="17"/>
  <c r="M903" i="17"/>
  <c r="M907" i="17"/>
  <c r="M908" i="17"/>
  <c r="M911" i="17"/>
  <c r="M912" i="17"/>
  <c r="M914" i="17"/>
  <c r="M915" i="17"/>
  <c r="M919" i="17"/>
  <c r="M923" i="17"/>
  <c r="M924" i="17"/>
  <c r="M927" i="17"/>
  <c r="M928" i="17"/>
  <c r="M930" i="17"/>
  <c r="M931" i="17"/>
  <c r="M935" i="17"/>
  <c r="M939" i="17"/>
  <c r="M940" i="17"/>
  <c r="M943" i="17"/>
  <c r="M944" i="17"/>
  <c r="M946" i="17"/>
  <c r="M947" i="17"/>
  <c r="M951" i="17"/>
  <c r="M955" i="17"/>
  <c r="M956" i="17"/>
  <c r="M959" i="17"/>
  <c r="M960" i="17"/>
  <c r="M962" i="17"/>
  <c r="M963" i="17"/>
  <c r="M967" i="17"/>
  <c r="M971" i="17"/>
  <c r="M972" i="17"/>
  <c r="M975" i="17"/>
  <c r="M976" i="17"/>
  <c r="M978" i="17"/>
  <c r="M979" i="17"/>
  <c r="M983" i="17"/>
  <c r="M987" i="17"/>
  <c r="M988" i="17"/>
  <c r="M991" i="17"/>
  <c r="M992" i="17"/>
  <c r="M994" i="17"/>
  <c r="M995" i="17"/>
  <c r="M999" i="17"/>
  <c r="J5" i="17"/>
  <c r="O5" i="17" s="1"/>
  <c r="I2" i="17"/>
  <c r="L3" i="17"/>
  <c r="L4" i="17"/>
  <c r="M4" i="17" s="1"/>
  <c r="L5" i="17"/>
  <c r="M5" i="17" s="1"/>
  <c r="L6" i="17"/>
  <c r="L7" i="17"/>
  <c r="L8" i="17"/>
  <c r="M8" i="17" s="1"/>
  <c r="L9" i="17"/>
  <c r="M9" i="17" s="1"/>
  <c r="L10" i="17"/>
  <c r="M10" i="17" s="1"/>
  <c r="L11" i="17"/>
  <c r="L12" i="17"/>
  <c r="L13" i="17"/>
  <c r="M13" i="17" s="1"/>
  <c r="L14" i="17"/>
  <c r="M14" i="17" s="1"/>
  <c r="L15" i="17"/>
  <c r="L16" i="17"/>
  <c r="L17" i="17"/>
  <c r="M17" i="17" s="1"/>
  <c r="L18" i="17"/>
  <c r="L19" i="17"/>
  <c r="L20" i="17"/>
  <c r="M20" i="17" s="1"/>
  <c r="L21" i="17"/>
  <c r="M21" i="17" s="1"/>
  <c r="L22" i="17"/>
  <c r="L23" i="17"/>
  <c r="L24" i="17"/>
  <c r="M24" i="17" s="1"/>
  <c r="L25" i="17"/>
  <c r="M25" i="17" s="1"/>
  <c r="L26" i="17"/>
  <c r="M26" i="17" s="1"/>
  <c r="L27" i="17"/>
  <c r="L28" i="17"/>
  <c r="L29" i="17"/>
  <c r="M29" i="17" s="1"/>
  <c r="L30" i="17"/>
  <c r="M30" i="17" s="1"/>
  <c r="L31" i="17"/>
  <c r="L32" i="17"/>
  <c r="L33" i="17"/>
  <c r="M33" i="17" s="1"/>
  <c r="L34" i="17"/>
  <c r="L35" i="17"/>
  <c r="L36" i="17"/>
  <c r="M36" i="17" s="1"/>
  <c r="L37" i="17"/>
  <c r="M37" i="17" s="1"/>
  <c r="L38" i="17"/>
  <c r="L39" i="17"/>
  <c r="L40" i="17"/>
  <c r="M40" i="17" s="1"/>
  <c r="L41" i="17"/>
  <c r="M41" i="17" s="1"/>
  <c r="L42" i="17"/>
  <c r="M42" i="17" s="1"/>
  <c r="L43" i="17"/>
  <c r="L44" i="17"/>
  <c r="L45" i="17"/>
  <c r="M45" i="17" s="1"/>
  <c r="L46" i="17"/>
  <c r="M46" i="17" s="1"/>
  <c r="L47" i="17"/>
  <c r="L48" i="17"/>
  <c r="L49" i="17"/>
  <c r="M49" i="17" s="1"/>
  <c r="L50" i="17"/>
  <c r="L51" i="17"/>
  <c r="L52" i="17"/>
  <c r="M52" i="17" s="1"/>
  <c r="L53" i="17"/>
  <c r="M53" i="17" s="1"/>
  <c r="L54" i="17"/>
  <c r="L55" i="17"/>
  <c r="L56" i="17"/>
  <c r="M56" i="17" s="1"/>
  <c r="L57" i="17"/>
  <c r="M57" i="17" s="1"/>
  <c r="L58" i="17"/>
  <c r="M58" i="17" s="1"/>
  <c r="L59" i="17"/>
  <c r="L60" i="17"/>
  <c r="L61" i="17"/>
  <c r="M61" i="17" s="1"/>
  <c r="L62" i="17"/>
  <c r="M62" i="17" s="1"/>
  <c r="L63" i="17"/>
  <c r="L64" i="17"/>
  <c r="L65" i="17"/>
  <c r="M65" i="17" s="1"/>
  <c r="L66" i="17"/>
  <c r="L67" i="17"/>
  <c r="L68" i="17"/>
  <c r="M68" i="17" s="1"/>
  <c r="L69" i="17"/>
  <c r="M69" i="17" s="1"/>
  <c r="L70" i="17"/>
  <c r="L71" i="17"/>
  <c r="L72" i="17"/>
  <c r="M72" i="17" s="1"/>
  <c r="L73" i="17"/>
  <c r="M73" i="17" s="1"/>
  <c r="L74" i="17"/>
  <c r="M74" i="17" s="1"/>
  <c r="L75" i="17"/>
  <c r="L76" i="17"/>
  <c r="L77" i="17"/>
  <c r="M77" i="17" s="1"/>
  <c r="L78" i="17"/>
  <c r="M78" i="17" s="1"/>
  <c r="L79" i="17"/>
  <c r="L80" i="17"/>
  <c r="L81" i="17"/>
  <c r="M81" i="17" s="1"/>
  <c r="L82" i="17"/>
  <c r="L83" i="17"/>
  <c r="L84" i="17"/>
  <c r="M84" i="17" s="1"/>
  <c r="L85" i="17"/>
  <c r="M85" i="17" s="1"/>
  <c r="L86" i="17"/>
  <c r="L87" i="17"/>
  <c r="L88" i="17"/>
  <c r="M88" i="17" s="1"/>
  <c r="L89" i="17"/>
  <c r="M89" i="17" s="1"/>
  <c r="L90" i="17"/>
  <c r="M90" i="17" s="1"/>
  <c r="L91" i="17"/>
  <c r="L92" i="17"/>
  <c r="L93" i="17"/>
  <c r="M93" i="17" s="1"/>
  <c r="L94" i="17"/>
  <c r="M94" i="17" s="1"/>
  <c r="L95" i="17"/>
  <c r="L96" i="17"/>
  <c r="L97" i="17"/>
  <c r="M97" i="17" s="1"/>
  <c r="L98" i="17"/>
  <c r="L99" i="17"/>
  <c r="L100" i="17"/>
  <c r="M100" i="17" s="1"/>
  <c r="L101" i="17"/>
  <c r="M101" i="17" s="1"/>
  <c r="L102" i="17"/>
  <c r="L103" i="17"/>
  <c r="L104" i="17"/>
  <c r="M104" i="17" s="1"/>
  <c r="L105" i="17"/>
  <c r="M105" i="17" s="1"/>
  <c r="L106" i="17"/>
  <c r="M106" i="17" s="1"/>
  <c r="L107" i="17"/>
  <c r="L108" i="17"/>
  <c r="L109" i="17"/>
  <c r="M109" i="17" s="1"/>
  <c r="L110" i="17"/>
  <c r="M110" i="17" s="1"/>
  <c r="L111" i="17"/>
  <c r="L112" i="17"/>
  <c r="L113" i="17"/>
  <c r="M113" i="17" s="1"/>
  <c r="L114" i="17"/>
  <c r="L115" i="17"/>
  <c r="L116" i="17"/>
  <c r="M116" i="17" s="1"/>
  <c r="L117" i="17"/>
  <c r="M117" i="17" s="1"/>
  <c r="L118" i="17"/>
  <c r="L119" i="17"/>
  <c r="L120" i="17"/>
  <c r="M120" i="17" s="1"/>
  <c r="L121" i="17"/>
  <c r="M121" i="17" s="1"/>
  <c r="L122" i="17"/>
  <c r="M122" i="17" s="1"/>
  <c r="L123" i="17"/>
  <c r="L124" i="17"/>
  <c r="L125" i="17"/>
  <c r="M125" i="17" s="1"/>
  <c r="L126" i="17"/>
  <c r="M126" i="17" s="1"/>
  <c r="L127" i="17"/>
  <c r="L128" i="17"/>
  <c r="L129" i="17"/>
  <c r="M129" i="17" s="1"/>
  <c r="L130" i="17"/>
  <c r="L131" i="17"/>
  <c r="L132" i="17"/>
  <c r="M132" i="17" s="1"/>
  <c r="L133" i="17"/>
  <c r="M133" i="17" s="1"/>
  <c r="L134" i="17"/>
  <c r="L135" i="17"/>
  <c r="L136" i="17"/>
  <c r="M136" i="17" s="1"/>
  <c r="L137" i="17"/>
  <c r="M137" i="17" s="1"/>
  <c r="L138" i="17"/>
  <c r="M138" i="17" s="1"/>
  <c r="L139" i="17"/>
  <c r="L140" i="17"/>
  <c r="L141" i="17"/>
  <c r="M141" i="17" s="1"/>
  <c r="L142" i="17"/>
  <c r="M142" i="17" s="1"/>
  <c r="L143" i="17"/>
  <c r="L144" i="17"/>
  <c r="L145" i="17"/>
  <c r="M145" i="17" s="1"/>
  <c r="L146" i="17"/>
  <c r="L147" i="17"/>
  <c r="L148" i="17"/>
  <c r="M148" i="17" s="1"/>
  <c r="L149" i="17"/>
  <c r="M149" i="17" s="1"/>
  <c r="L150" i="17"/>
  <c r="L151" i="17"/>
  <c r="L152" i="17"/>
  <c r="M152" i="17" s="1"/>
  <c r="L153" i="17"/>
  <c r="M153" i="17" s="1"/>
  <c r="L154" i="17"/>
  <c r="M154" i="17" s="1"/>
  <c r="L155" i="17"/>
  <c r="L156" i="17"/>
  <c r="L157" i="17"/>
  <c r="M157" i="17" s="1"/>
  <c r="L158" i="17"/>
  <c r="M158" i="17" s="1"/>
  <c r="L159" i="17"/>
  <c r="L160" i="17"/>
  <c r="L161" i="17"/>
  <c r="M161" i="17" s="1"/>
  <c r="L162" i="17"/>
  <c r="L163" i="17"/>
  <c r="L164" i="17"/>
  <c r="M164" i="17" s="1"/>
  <c r="L165" i="17"/>
  <c r="M165" i="17" s="1"/>
  <c r="L166" i="17"/>
  <c r="L167" i="17"/>
  <c r="L168" i="17"/>
  <c r="M168" i="17" s="1"/>
  <c r="L169" i="17"/>
  <c r="M169" i="17" s="1"/>
  <c r="L170" i="17"/>
  <c r="M170" i="17" s="1"/>
  <c r="L171" i="17"/>
  <c r="L172" i="17"/>
  <c r="L173" i="17"/>
  <c r="M173" i="17" s="1"/>
  <c r="L174" i="17"/>
  <c r="M174" i="17" s="1"/>
  <c r="L175" i="17"/>
  <c r="L176" i="17"/>
  <c r="L177" i="17"/>
  <c r="M177" i="17" s="1"/>
  <c r="L178" i="17"/>
  <c r="L179" i="17"/>
  <c r="L180" i="17"/>
  <c r="M180" i="17" s="1"/>
  <c r="L181" i="17"/>
  <c r="M181" i="17" s="1"/>
  <c r="L182" i="17"/>
  <c r="L183" i="17"/>
  <c r="L184" i="17"/>
  <c r="M184" i="17" s="1"/>
  <c r="L185" i="17"/>
  <c r="M185" i="17" s="1"/>
  <c r="L186" i="17"/>
  <c r="M186" i="17" s="1"/>
  <c r="L187" i="17"/>
  <c r="L188" i="17"/>
  <c r="L189" i="17"/>
  <c r="M189" i="17" s="1"/>
  <c r="L190" i="17"/>
  <c r="M190" i="17" s="1"/>
  <c r="L191" i="17"/>
  <c r="L192" i="17"/>
  <c r="L193" i="17"/>
  <c r="M193" i="17" s="1"/>
  <c r="L194" i="17"/>
  <c r="L195" i="17"/>
  <c r="L196" i="17"/>
  <c r="M196" i="17" s="1"/>
  <c r="L197" i="17"/>
  <c r="M197" i="17" s="1"/>
  <c r="L198" i="17"/>
  <c r="L199" i="17"/>
  <c r="L200" i="17"/>
  <c r="M200" i="17" s="1"/>
  <c r="L201" i="17"/>
  <c r="M201" i="17" s="1"/>
  <c r="L202" i="17"/>
  <c r="M202" i="17" s="1"/>
  <c r="L203" i="17"/>
  <c r="L204" i="17"/>
  <c r="L205" i="17"/>
  <c r="M205" i="17" s="1"/>
  <c r="L206" i="17"/>
  <c r="M206" i="17" s="1"/>
  <c r="L207" i="17"/>
  <c r="L208" i="17"/>
  <c r="L209" i="17"/>
  <c r="M209" i="17" s="1"/>
  <c r="L210" i="17"/>
  <c r="L211" i="17"/>
  <c r="L212" i="17"/>
  <c r="M212" i="17" s="1"/>
  <c r="L213" i="17"/>
  <c r="M213" i="17" s="1"/>
  <c r="L214" i="17"/>
  <c r="L215" i="17"/>
  <c r="L216" i="17"/>
  <c r="M216" i="17" s="1"/>
  <c r="L217" i="17"/>
  <c r="M217" i="17" s="1"/>
  <c r="L218" i="17"/>
  <c r="M218" i="17" s="1"/>
  <c r="L219" i="17"/>
  <c r="L220" i="17"/>
  <c r="L221" i="17"/>
  <c r="M221" i="17" s="1"/>
  <c r="L222" i="17"/>
  <c r="M222" i="17" s="1"/>
  <c r="L223" i="17"/>
  <c r="L224" i="17"/>
  <c r="L225" i="17"/>
  <c r="M225" i="17" s="1"/>
  <c r="L226" i="17"/>
  <c r="L227" i="17"/>
  <c r="L228" i="17"/>
  <c r="M228" i="17" s="1"/>
  <c r="L229" i="17"/>
  <c r="M229" i="17" s="1"/>
  <c r="L230" i="17"/>
  <c r="L231" i="17"/>
  <c r="L232" i="17"/>
  <c r="M232" i="17" s="1"/>
  <c r="L233" i="17"/>
  <c r="M233" i="17" s="1"/>
  <c r="L234" i="17"/>
  <c r="M234" i="17" s="1"/>
  <c r="L235" i="17"/>
  <c r="L236" i="17"/>
  <c r="L237" i="17"/>
  <c r="M237" i="17" s="1"/>
  <c r="L238" i="17"/>
  <c r="M238" i="17" s="1"/>
  <c r="L239" i="17"/>
  <c r="L240" i="17"/>
  <c r="L241" i="17"/>
  <c r="M241" i="17" s="1"/>
  <c r="L242" i="17"/>
  <c r="L243" i="17"/>
  <c r="L244" i="17"/>
  <c r="M244" i="17" s="1"/>
  <c r="L245" i="17"/>
  <c r="M245" i="17" s="1"/>
  <c r="L246" i="17"/>
  <c r="L247" i="17"/>
  <c r="L248" i="17"/>
  <c r="M248" i="17" s="1"/>
  <c r="L249" i="17"/>
  <c r="M249" i="17" s="1"/>
  <c r="L250" i="17"/>
  <c r="M250" i="17" s="1"/>
  <c r="L251" i="17"/>
  <c r="L252" i="17"/>
  <c r="L253" i="17"/>
  <c r="M253" i="17" s="1"/>
  <c r="L254" i="17"/>
  <c r="M254" i="17" s="1"/>
  <c r="L255" i="17"/>
  <c r="L256" i="17"/>
  <c r="L257" i="17"/>
  <c r="M257" i="17" s="1"/>
  <c r="L258" i="17"/>
  <c r="L259" i="17"/>
  <c r="L260" i="17"/>
  <c r="M260" i="17" s="1"/>
  <c r="L261" i="17"/>
  <c r="M261" i="17" s="1"/>
  <c r="L262" i="17"/>
  <c r="L263" i="17"/>
  <c r="L264" i="17"/>
  <c r="M264" i="17" s="1"/>
  <c r="L265" i="17"/>
  <c r="M265" i="17" s="1"/>
  <c r="L266" i="17"/>
  <c r="M266" i="17" s="1"/>
  <c r="L267" i="17"/>
  <c r="L268" i="17"/>
  <c r="L269" i="17"/>
  <c r="M269" i="17" s="1"/>
  <c r="L270" i="17"/>
  <c r="M270" i="17" s="1"/>
  <c r="L271" i="17"/>
  <c r="L272" i="17"/>
  <c r="L273" i="17"/>
  <c r="M273" i="17" s="1"/>
  <c r="L274" i="17"/>
  <c r="L275" i="17"/>
  <c r="L276" i="17"/>
  <c r="M276" i="17" s="1"/>
  <c r="L277" i="17"/>
  <c r="M277" i="17" s="1"/>
  <c r="L278" i="17"/>
  <c r="L279" i="17"/>
  <c r="L280" i="17"/>
  <c r="M280" i="17" s="1"/>
  <c r="L281" i="17"/>
  <c r="M281" i="17" s="1"/>
  <c r="L282" i="17"/>
  <c r="M282" i="17" s="1"/>
  <c r="L283" i="17"/>
  <c r="L284" i="17"/>
  <c r="L285" i="17"/>
  <c r="M285" i="17" s="1"/>
  <c r="L286" i="17"/>
  <c r="M286" i="17" s="1"/>
  <c r="L287" i="17"/>
  <c r="L288" i="17"/>
  <c r="L289" i="17"/>
  <c r="M289" i="17" s="1"/>
  <c r="L290" i="17"/>
  <c r="L291" i="17"/>
  <c r="L292" i="17"/>
  <c r="M292" i="17" s="1"/>
  <c r="L293" i="17"/>
  <c r="M293" i="17" s="1"/>
  <c r="L294" i="17"/>
  <c r="L295" i="17"/>
  <c r="L296" i="17"/>
  <c r="M296" i="17" s="1"/>
  <c r="L297" i="17"/>
  <c r="M297" i="17" s="1"/>
  <c r="L298" i="17"/>
  <c r="M298" i="17" s="1"/>
  <c r="L299" i="17"/>
  <c r="L300" i="17"/>
  <c r="L301" i="17"/>
  <c r="M301" i="17" s="1"/>
  <c r="L302" i="17"/>
  <c r="M302" i="17" s="1"/>
  <c r="L303" i="17"/>
  <c r="L304" i="17"/>
  <c r="L305" i="17"/>
  <c r="M305" i="17" s="1"/>
  <c r="L306" i="17"/>
  <c r="L307" i="17"/>
  <c r="L308" i="17"/>
  <c r="M308" i="17" s="1"/>
  <c r="L309" i="17"/>
  <c r="M309" i="17" s="1"/>
  <c r="L310" i="17"/>
  <c r="L311" i="17"/>
  <c r="L312" i="17"/>
  <c r="M312" i="17" s="1"/>
  <c r="L313" i="17"/>
  <c r="M313" i="17" s="1"/>
  <c r="L314" i="17"/>
  <c r="M314" i="17" s="1"/>
  <c r="L315" i="17"/>
  <c r="L316" i="17"/>
  <c r="L317" i="17"/>
  <c r="M317" i="17" s="1"/>
  <c r="L318" i="17"/>
  <c r="M318" i="17" s="1"/>
  <c r="L319" i="17"/>
  <c r="L320" i="17"/>
  <c r="L321" i="17"/>
  <c r="M321" i="17" s="1"/>
  <c r="L322" i="17"/>
  <c r="L323" i="17"/>
  <c r="L324" i="17"/>
  <c r="M324" i="17" s="1"/>
  <c r="L325" i="17"/>
  <c r="M325" i="17" s="1"/>
  <c r="L326" i="17"/>
  <c r="L327" i="17"/>
  <c r="L328" i="17"/>
  <c r="M328" i="17" s="1"/>
  <c r="L329" i="17"/>
  <c r="M329" i="17" s="1"/>
  <c r="L330" i="17"/>
  <c r="M330" i="17" s="1"/>
  <c r="L331" i="17"/>
  <c r="L332" i="17"/>
  <c r="L333" i="17"/>
  <c r="M333" i="17" s="1"/>
  <c r="L334" i="17"/>
  <c r="M334" i="17" s="1"/>
  <c r="L335" i="17"/>
  <c r="L336" i="17"/>
  <c r="L337" i="17"/>
  <c r="M337" i="17" s="1"/>
  <c r="L338" i="17"/>
  <c r="L339" i="17"/>
  <c r="L340" i="17"/>
  <c r="M340" i="17" s="1"/>
  <c r="L341" i="17"/>
  <c r="M341" i="17" s="1"/>
  <c r="L342" i="17"/>
  <c r="L343" i="17"/>
  <c r="L344" i="17"/>
  <c r="M344" i="17" s="1"/>
  <c r="L345" i="17"/>
  <c r="M345" i="17" s="1"/>
  <c r="L346" i="17"/>
  <c r="M346" i="17" s="1"/>
  <c r="L347" i="17"/>
  <c r="L348" i="17"/>
  <c r="L349" i="17"/>
  <c r="M349" i="17" s="1"/>
  <c r="L350" i="17"/>
  <c r="M350" i="17" s="1"/>
  <c r="L351" i="17"/>
  <c r="L352" i="17"/>
  <c r="L353" i="17"/>
  <c r="M353" i="17" s="1"/>
  <c r="L354" i="17"/>
  <c r="L355" i="17"/>
  <c r="L356" i="17"/>
  <c r="M356" i="17" s="1"/>
  <c r="L357" i="17"/>
  <c r="M357" i="17" s="1"/>
  <c r="L358" i="17"/>
  <c r="M358" i="17" s="1"/>
  <c r="L359" i="17"/>
  <c r="L360" i="17"/>
  <c r="M360" i="17" s="1"/>
  <c r="L361" i="17"/>
  <c r="M361" i="17" s="1"/>
  <c r="L362" i="17"/>
  <c r="M362" i="17" s="1"/>
  <c r="L363" i="17"/>
  <c r="L364" i="17"/>
  <c r="L365" i="17"/>
  <c r="M365" i="17" s="1"/>
  <c r="L366" i="17"/>
  <c r="M366" i="17" s="1"/>
  <c r="L367" i="17"/>
  <c r="L368" i="17"/>
  <c r="L369" i="17"/>
  <c r="M369" i="17" s="1"/>
  <c r="L370" i="17"/>
  <c r="L371" i="17"/>
  <c r="L372" i="17"/>
  <c r="M372" i="17" s="1"/>
  <c r="L373" i="17"/>
  <c r="M373" i="17" s="1"/>
  <c r="L374" i="17"/>
  <c r="M374" i="17" s="1"/>
  <c r="L375" i="17"/>
  <c r="L376" i="17"/>
  <c r="M376" i="17" s="1"/>
  <c r="L377" i="17"/>
  <c r="M377" i="17" s="1"/>
  <c r="L378" i="17"/>
  <c r="M378" i="17" s="1"/>
  <c r="L379" i="17"/>
  <c r="L380" i="17"/>
  <c r="L381" i="17"/>
  <c r="M381" i="17" s="1"/>
  <c r="L382" i="17"/>
  <c r="M382" i="17" s="1"/>
  <c r="L383" i="17"/>
  <c r="L384" i="17"/>
  <c r="L385" i="17"/>
  <c r="M385" i="17" s="1"/>
  <c r="L386" i="17"/>
  <c r="L387" i="17"/>
  <c r="L388" i="17"/>
  <c r="M388" i="17" s="1"/>
  <c r="L389" i="17"/>
  <c r="M389" i="17" s="1"/>
  <c r="L390" i="17"/>
  <c r="M390" i="17" s="1"/>
  <c r="L391" i="17"/>
  <c r="L392" i="17"/>
  <c r="M392" i="17" s="1"/>
  <c r="L393" i="17"/>
  <c r="M393" i="17" s="1"/>
  <c r="L394" i="17"/>
  <c r="M394" i="17" s="1"/>
  <c r="L395" i="17"/>
  <c r="L396" i="17"/>
  <c r="L397" i="17"/>
  <c r="M397" i="17" s="1"/>
  <c r="L398" i="17"/>
  <c r="M398" i="17" s="1"/>
  <c r="L399" i="17"/>
  <c r="L400" i="17"/>
  <c r="L401" i="17"/>
  <c r="M401" i="17" s="1"/>
  <c r="L402" i="17"/>
  <c r="L403" i="17"/>
  <c r="L404" i="17"/>
  <c r="M404" i="17" s="1"/>
  <c r="L405" i="17"/>
  <c r="M405" i="17" s="1"/>
  <c r="L406" i="17"/>
  <c r="M406" i="17" s="1"/>
  <c r="L407" i="17"/>
  <c r="L408" i="17"/>
  <c r="M408" i="17" s="1"/>
  <c r="L409" i="17"/>
  <c r="M409" i="17" s="1"/>
  <c r="L410" i="17"/>
  <c r="M410" i="17" s="1"/>
  <c r="L411" i="17"/>
  <c r="L412" i="17"/>
  <c r="L413" i="17"/>
  <c r="M413" i="17" s="1"/>
  <c r="L414" i="17"/>
  <c r="M414" i="17" s="1"/>
  <c r="L415" i="17"/>
  <c r="L416" i="17"/>
  <c r="L417" i="17"/>
  <c r="M417" i="17" s="1"/>
  <c r="L418" i="17"/>
  <c r="L419" i="17"/>
  <c r="L420" i="17"/>
  <c r="M420" i="17" s="1"/>
  <c r="L421" i="17"/>
  <c r="M421" i="17" s="1"/>
  <c r="L422" i="17"/>
  <c r="M422" i="17" s="1"/>
  <c r="L423" i="17"/>
  <c r="L424" i="17"/>
  <c r="M424" i="17" s="1"/>
  <c r="L425" i="17"/>
  <c r="M425" i="17" s="1"/>
  <c r="L426" i="17"/>
  <c r="M426" i="17" s="1"/>
  <c r="L427" i="17"/>
  <c r="L428" i="17"/>
  <c r="L429" i="17"/>
  <c r="M429" i="17" s="1"/>
  <c r="L430" i="17"/>
  <c r="M430" i="17" s="1"/>
  <c r="L431" i="17"/>
  <c r="L432" i="17"/>
  <c r="L433" i="17"/>
  <c r="M433" i="17" s="1"/>
  <c r="L434" i="17"/>
  <c r="L435" i="17"/>
  <c r="L436" i="17"/>
  <c r="M436" i="17" s="1"/>
  <c r="L437" i="17"/>
  <c r="M437" i="17" s="1"/>
  <c r="L438" i="17"/>
  <c r="M438" i="17" s="1"/>
  <c r="L439" i="17"/>
  <c r="L440" i="17"/>
  <c r="M440" i="17" s="1"/>
  <c r="L441" i="17"/>
  <c r="M441" i="17" s="1"/>
  <c r="L442" i="17"/>
  <c r="M442" i="17" s="1"/>
  <c r="L443" i="17"/>
  <c r="L444" i="17"/>
  <c r="L445" i="17"/>
  <c r="M445" i="17" s="1"/>
  <c r="L446" i="17"/>
  <c r="M446" i="17" s="1"/>
  <c r="L447" i="17"/>
  <c r="L448" i="17"/>
  <c r="L449" i="17"/>
  <c r="M449" i="17" s="1"/>
  <c r="L450" i="17"/>
  <c r="L451" i="17"/>
  <c r="L452" i="17"/>
  <c r="M452" i="17" s="1"/>
  <c r="L453" i="17"/>
  <c r="M453" i="17" s="1"/>
  <c r="L454" i="17"/>
  <c r="M454" i="17" s="1"/>
  <c r="L455" i="17"/>
  <c r="L456" i="17"/>
  <c r="M456" i="17" s="1"/>
  <c r="L457" i="17"/>
  <c r="M457" i="17" s="1"/>
  <c r="L458" i="17"/>
  <c r="M458" i="17" s="1"/>
  <c r="L459" i="17"/>
  <c r="L460" i="17"/>
  <c r="L461" i="17"/>
  <c r="M461" i="17" s="1"/>
  <c r="L462" i="17"/>
  <c r="M462" i="17" s="1"/>
  <c r="L463" i="17"/>
  <c r="L464" i="17"/>
  <c r="L465" i="17"/>
  <c r="M465" i="17" s="1"/>
  <c r="L466" i="17"/>
  <c r="L467" i="17"/>
  <c r="L468" i="17"/>
  <c r="M468" i="17" s="1"/>
  <c r="L469" i="17"/>
  <c r="M469" i="17" s="1"/>
  <c r="L470" i="17"/>
  <c r="M470" i="17" s="1"/>
  <c r="L471" i="17"/>
  <c r="L472" i="17"/>
  <c r="M472" i="17" s="1"/>
  <c r="L473" i="17"/>
  <c r="M473" i="17" s="1"/>
  <c r="L474" i="17"/>
  <c r="M474" i="17" s="1"/>
  <c r="L475" i="17"/>
  <c r="L476" i="17"/>
  <c r="L477" i="17"/>
  <c r="M477" i="17" s="1"/>
  <c r="L478" i="17"/>
  <c r="M478" i="17" s="1"/>
  <c r="L479" i="17"/>
  <c r="L480" i="17"/>
  <c r="L481" i="17"/>
  <c r="M481" i="17" s="1"/>
  <c r="L482" i="17"/>
  <c r="L483" i="17"/>
  <c r="L484" i="17"/>
  <c r="M484" i="17" s="1"/>
  <c r="L485" i="17"/>
  <c r="M485" i="17" s="1"/>
  <c r="L486" i="17"/>
  <c r="M486" i="17" s="1"/>
  <c r="L487" i="17"/>
  <c r="L488" i="17"/>
  <c r="M488" i="17" s="1"/>
  <c r="L489" i="17"/>
  <c r="M489" i="17" s="1"/>
  <c r="L490" i="17"/>
  <c r="M490" i="17" s="1"/>
  <c r="L491" i="17"/>
  <c r="L492" i="17"/>
  <c r="L493" i="17"/>
  <c r="M493" i="17" s="1"/>
  <c r="L494" i="17"/>
  <c r="M494" i="17" s="1"/>
  <c r="L495" i="17"/>
  <c r="L496" i="17"/>
  <c r="L497" i="17"/>
  <c r="M497" i="17" s="1"/>
  <c r="L498" i="17"/>
  <c r="L499" i="17"/>
  <c r="L500" i="17"/>
  <c r="M500" i="17" s="1"/>
  <c r="L501" i="17"/>
  <c r="M501" i="17" s="1"/>
  <c r="L502" i="17"/>
  <c r="M502" i="17" s="1"/>
  <c r="L503" i="17"/>
  <c r="L504" i="17"/>
  <c r="M504" i="17" s="1"/>
  <c r="L505" i="17"/>
  <c r="M505" i="17" s="1"/>
  <c r="L506" i="17"/>
  <c r="M506" i="17" s="1"/>
  <c r="L507" i="17"/>
  <c r="L508" i="17"/>
  <c r="L509" i="17"/>
  <c r="M509" i="17" s="1"/>
  <c r="L510" i="17"/>
  <c r="M510" i="17" s="1"/>
  <c r="L511" i="17"/>
  <c r="L512" i="17"/>
  <c r="L513" i="17"/>
  <c r="M513" i="17" s="1"/>
  <c r="L514" i="17"/>
  <c r="L515" i="17"/>
  <c r="L516" i="17"/>
  <c r="M516" i="17" s="1"/>
  <c r="L517" i="17"/>
  <c r="M517" i="17" s="1"/>
  <c r="L518" i="17"/>
  <c r="M518" i="17" s="1"/>
  <c r="L519" i="17"/>
  <c r="L520" i="17"/>
  <c r="M520" i="17" s="1"/>
  <c r="L521" i="17"/>
  <c r="M521" i="17" s="1"/>
  <c r="L522" i="17"/>
  <c r="M522" i="17" s="1"/>
  <c r="L523" i="17"/>
  <c r="L524" i="17"/>
  <c r="L525" i="17"/>
  <c r="M525" i="17" s="1"/>
  <c r="L526" i="17"/>
  <c r="M526" i="17" s="1"/>
  <c r="L527" i="17"/>
  <c r="L528" i="17"/>
  <c r="L529" i="17"/>
  <c r="M529" i="17" s="1"/>
  <c r="L530" i="17"/>
  <c r="L531" i="17"/>
  <c r="L532" i="17"/>
  <c r="M532" i="17" s="1"/>
  <c r="L533" i="17"/>
  <c r="M533" i="17" s="1"/>
  <c r="L534" i="17"/>
  <c r="M534" i="17" s="1"/>
  <c r="L535" i="17"/>
  <c r="L536" i="17"/>
  <c r="M536" i="17" s="1"/>
  <c r="L537" i="17"/>
  <c r="M537" i="17" s="1"/>
  <c r="L538" i="17"/>
  <c r="M538" i="17" s="1"/>
  <c r="L539" i="17"/>
  <c r="L540" i="17"/>
  <c r="L541" i="17"/>
  <c r="M541" i="17" s="1"/>
  <c r="L542" i="17"/>
  <c r="M542" i="17" s="1"/>
  <c r="L543" i="17"/>
  <c r="L544" i="17"/>
  <c r="L545" i="17"/>
  <c r="M545" i="17" s="1"/>
  <c r="L546" i="17"/>
  <c r="L547" i="17"/>
  <c r="L548" i="17"/>
  <c r="M548" i="17" s="1"/>
  <c r="L549" i="17"/>
  <c r="M549" i="17" s="1"/>
  <c r="L550" i="17"/>
  <c r="M550" i="17" s="1"/>
  <c r="L551" i="17"/>
  <c r="L552" i="17"/>
  <c r="M552" i="17" s="1"/>
  <c r="L553" i="17"/>
  <c r="M553" i="17" s="1"/>
  <c r="L554" i="17"/>
  <c r="M554" i="17" s="1"/>
  <c r="L555" i="17"/>
  <c r="L556" i="17"/>
  <c r="L557" i="17"/>
  <c r="M557" i="17" s="1"/>
  <c r="L558" i="17"/>
  <c r="M558" i="17" s="1"/>
  <c r="L559" i="17"/>
  <c r="L560" i="17"/>
  <c r="L561" i="17"/>
  <c r="M561" i="17" s="1"/>
  <c r="L562" i="17"/>
  <c r="L563" i="17"/>
  <c r="L564" i="17"/>
  <c r="M564" i="17" s="1"/>
  <c r="L565" i="17"/>
  <c r="M565" i="17" s="1"/>
  <c r="L566" i="17"/>
  <c r="M566" i="17" s="1"/>
  <c r="L567" i="17"/>
  <c r="L568" i="17"/>
  <c r="M568" i="17" s="1"/>
  <c r="L569" i="17"/>
  <c r="M569" i="17" s="1"/>
  <c r="L570" i="17"/>
  <c r="M570" i="17" s="1"/>
  <c r="L571" i="17"/>
  <c r="L572" i="17"/>
  <c r="L573" i="17"/>
  <c r="M573" i="17" s="1"/>
  <c r="L574" i="17"/>
  <c r="M574" i="17" s="1"/>
  <c r="L575" i="17"/>
  <c r="L576" i="17"/>
  <c r="L577" i="17"/>
  <c r="M577" i="17" s="1"/>
  <c r="L578" i="17"/>
  <c r="L579" i="17"/>
  <c r="L580" i="17"/>
  <c r="M580" i="17" s="1"/>
  <c r="L581" i="17"/>
  <c r="M581" i="17" s="1"/>
  <c r="L582" i="17"/>
  <c r="M582" i="17" s="1"/>
  <c r="L583" i="17"/>
  <c r="L584" i="17"/>
  <c r="M584" i="17" s="1"/>
  <c r="L585" i="17"/>
  <c r="M585" i="17" s="1"/>
  <c r="L586" i="17"/>
  <c r="M586" i="17" s="1"/>
  <c r="L587" i="17"/>
  <c r="L588" i="17"/>
  <c r="L589" i="17"/>
  <c r="M589" i="17" s="1"/>
  <c r="L590" i="17"/>
  <c r="M590" i="17" s="1"/>
  <c r="L591" i="17"/>
  <c r="L592" i="17"/>
  <c r="L593" i="17"/>
  <c r="M593" i="17" s="1"/>
  <c r="L594" i="17"/>
  <c r="L595" i="17"/>
  <c r="L596" i="17"/>
  <c r="M596" i="17" s="1"/>
  <c r="L597" i="17"/>
  <c r="M597" i="17" s="1"/>
  <c r="L598" i="17"/>
  <c r="M598" i="17" s="1"/>
  <c r="L599" i="17"/>
  <c r="L600" i="17"/>
  <c r="M600" i="17" s="1"/>
  <c r="L601" i="17"/>
  <c r="M601" i="17" s="1"/>
  <c r="L602" i="17"/>
  <c r="M602" i="17" s="1"/>
  <c r="L603" i="17"/>
  <c r="L604" i="17"/>
  <c r="L605" i="17"/>
  <c r="M605" i="17" s="1"/>
  <c r="L606" i="17"/>
  <c r="M606" i="17" s="1"/>
  <c r="L607" i="17"/>
  <c r="L608" i="17"/>
  <c r="L609" i="17"/>
  <c r="M609" i="17" s="1"/>
  <c r="L610" i="17"/>
  <c r="L611" i="17"/>
  <c r="L612" i="17"/>
  <c r="M612" i="17" s="1"/>
  <c r="L613" i="17"/>
  <c r="M613" i="17" s="1"/>
  <c r="L614" i="17"/>
  <c r="M614" i="17" s="1"/>
  <c r="L615" i="17"/>
  <c r="L616" i="17"/>
  <c r="M616" i="17" s="1"/>
  <c r="L617" i="17"/>
  <c r="M617" i="17" s="1"/>
  <c r="L618" i="17"/>
  <c r="M618" i="17" s="1"/>
  <c r="L619" i="17"/>
  <c r="L620" i="17"/>
  <c r="L621" i="17"/>
  <c r="M621" i="17" s="1"/>
  <c r="L622" i="17"/>
  <c r="M622" i="17" s="1"/>
  <c r="L623" i="17"/>
  <c r="L624" i="17"/>
  <c r="L625" i="17"/>
  <c r="M625" i="17" s="1"/>
  <c r="L626" i="17"/>
  <c r="L627" i="17"/>
  <c r="L628" i="17"/>
  <c r="M628" i="17" s="1"/>
  <c r="L629" i="17"/>
  <c r="M629" i="17" s="1"/>
  <c r="L630" i="17"/>
  <c r="M630" i="17" s="1"/>
  <c r="L631" i="17"/>
  <c r="L632" i="17"/>
  <c r="M632" i="17" s="1"/>
  <c r="L633" i="17"/>
  <c r="M633" i="17" s="1"/>
  <c r="L634" i="17"/>
  <c r="M634" i="17" s="1"/>
  <c r="L635" i="17"/>
  <c r="L636" i="17"/>
  <c r="L637" i="17"/>
  <c r="M637" i="17" s="1"/>
  <c r="L638" i="17"/>
  <c r="M638" i="17" s="1"/>
  <c r="L639" i="17"/>
  <c r="L640" i="17"/>
  <c r="L641" i="17"/>
  <c r="M641" i="17" s="1"/>
  <c r="L642" i="17"/>
  <c r="L643" i="17"/>
  <c r="L644" i="17"/>
  <c r="M644" i="17" s="1"/>
  <c r="L645" i="17"/>
  <c r="M645" i="17" s="1"/>
  <c r="L646" i="17"/>
  <c r="M646" i="17" s="1"/>
  <c r="L647" i="17"/>
  <c r="L648" i="17"/>
  <c r="M648" i="17" s="1"/>
  <c r="L649" i="17"/>
  <c r="M649" i="17" s="1"/>
  <c r="L650" i="17"/>
  <c r="M650" i="17" s="1"/>
  <c r="L651" i="17"/>
  <c r="L652" i="17"/>
  <c r="L653" i="17"/>
  <c r="M653" i="17" s="1"/>
  <c r="L654" i="17"/>
  <c r="M654" i="17" s="1"/>
  <c r="L655" i="17"/>
  <c r="L656" i="17"/>
  <c r="L657" i="17"/>
  <c r="M657" i="17" s="1"/>
  <c r="L658" i="17"/>
  <c r="L659" i="17"/>
  <c r="L660" i="17"/>
  <c r="M660" i="17" s="1"/>
  <c r="L661" i="17"/>
  <c r="M661" i="17" s="1"/>
  <c r="L662" i="17"/>
  <c r="M662" i="17" s="1"/>
  <c r="L663" i="17"/>
  <c r="L664" i="17"/>
  <c r="M664" i="17" s="1"/>
  <c r="L665" i="17"/>
  <c r="M665" i="17" s="1"/>
  <c r="L666" i="17"/>
  <c r="M666" i="17" s="1"/>
  <c r="L667" i="17"/>
  <c r="L668" i="17"/>
  <c r="L669" i="17"/>
  <c r="M669" i="17" s="1"/>
  <c r="L670" i="17"/>
  <c r="M670" i="17" s="1"/>
  <c r="L671" i="17"/>
  <c r="L672" i="17"/>
  <c r="L673" i="17"/>
  <c r="M673" i="17" s="1"/>
  <c r="L674" i="17"/>
  <c r="L675" i="17"/>
  <c r="L676" i="17"/>
  <c r="M676" i="17" s="1"/>
  <c r="L677" i="17"/>
  <c r="M677" i="17" s="1"/>
  <c r="L678" i="17"/>
  <c r="M678" i="17" s="1"/>
  <c r="L679" i="17"/>
  <c r="L680" i="17"/>
  <c r="M680" i="17" s="1"/>
  <c r="L681" i="17"/>
  <c r="M681" i="17" s="1"/>
  <c r="L682" i="17"/>
  <c r="M682" i="17" s="1"/>
  <c r="L683" i="17"/>
  <c r="L684" i="17"/>
  <c r="L685" i="17"/>
  <c r="M685" i="17" s="1"/>
  <c r="L686" i="17"/>
  <c r="M686" i="17" s="1"/>
  <c r="L687" i="17"/>
  <c r="L688" i="17"/>
  <c r="L689" i="17"/>
  <c r="M689" i="17" s="1"/>
  <c r="L690" i="17"/>
  <c r="L691" i="17"/>
  <c r="L692" i="17"/>
  <c r="M692" i="17" s="1"/>
  <c r="L693" i="17"/>
  <c r="M693" i="17" s="1"/>
  <c r="L694" i="17"/>
  <c r="M694" i="17" s="1"/>
  <c r="L695" i="17"/>
  <c r="L696" i="17"/>
  <c r="M696" i="17" s="1"/>
  <c r="L697" i="17"/>
  <c r="M697" i="17" s="1"/>
  <c r="L698" i="17"/>
  <c r="M698" i="17" s="1"/>
  <c r="L699" i="17"/>
  <c r="L700" i="17"/>
  <c r="L701" i="17"/>
  <c r="M701" i="17" s="1"/>
  <c r="L702" i="17"/>
  <c r="M702" i="17" s="1"/>
  <c r="L703" i="17"/>
  <c r="L704" i="17"/>
  <c r="L705" i="17"/>
  <c r="M705" i="17" s="1"/>
  <c r="L706" i="17"/>
  <c r="L707" i="17"/>
  <c r="L708" i="17"/>
  <c r="M708" i="17" s="1"/>
  <c r="L709" i="17"/>
  <c r="M709" i="17" s="1"/>
  <c r="L710" i="17"/>
  <c r="M710" i="17" s="1"/>
  <c r="L711" i="17"/>
  <c r="L712" i="17"/>
  <c r="M712" i="17" s="1"/>
  <c r="L713" i="17"/>
  <c r="M713" i="17" s="1"/>
  <c r="L714" i="17"/>
  <c r="M714" i="17" s="1"/>
  <c r="L715" i="17"/>
  <c r="L716" i="17"/>
  <c r="L717" i="17"/>
  <c r="M717" i="17" s="1"/>
  <c r="L718" i="17"/>
  <c r="M718" i="17" s="1"/>
  <c r="L719" i="17"/>
  <c r="L720" i="17"/>
  <c r="L721" i="17"/>
  <c r="M721" i="17" s="1"/>
  <c r="L722" i="17"/>
  <c r="L723" i="17"/>
  <c r="L724" i="17"/>
  <c r="M724" i="17" s="1"/>
  <c r="L725" i="17"/>
  <c r="M725" i="17" s="1"/>
  <c r="L726" i="17"/>
  <c r="M726" i="17" s="1"/>
  <c r="L727" i="17"/>
  <c r="L728" i="17"/>
  <c r="M728" i="17" s="1"/>
  <c r="L729" i="17"/>
  <c r="M729" i="17" s="1"/>
  <c r="L730" i="17"/>
  <c r="M730" i="17" s="1"/>
  <c r="L731" i="17"/>
  <c r="L732" i="17"/>
  <c r="L733" i="17"/>
  <c r="M733" i="17" s="1"/>
  <c r="L734" i="17"/>
  <c r="M734" i="17" s="1"/>
  <c r="L735" i="17"/>
  <c r="L736" i="17"/>
  <c r="L737" i="17"/>
  <c r="M737" i="17" s="1"/>
  <c r="L738" i="17"/>
  <c r="L739" i="17"/>
  <c r="L740" i="17"/>
  <c r="M740" i="17" s="1"/>
  <c r="L741" i="17"/>
  <c r="M741" i="17" s="1"/>
  <c r="L742" i="17"/>
  <c r="M742" i="17" s="1"/>
  <c r="L743" i="17"/>
  <c r="L744" i="17"/>
  <c r="M744" i="17" s="1"/>
  <c r="L745" i="17"/>
  <c r="M745" i="17" s="1"/>
  <c r="L746" i="17"/>
  <c r="M746" i="17" s="1"/>
  <c r="L747" i="17"/>
  <c r="L748" i="17"/>
  <c r="L749" i="17"/>
  <c r="M749" i="17" s="1"/>
  <c r="L750" i="17"/>
  <c r="M750" i="17" s="1"/>
  <c r="L751" i="17"/>
  <c r="L752" i="17"/>
  <c r="L753" i="17"/>
  <c r="M753" i="17" s="1"/>
  <c r="L754" i="17"/>
  <c r="L755" i="17"/>
  <c r="L756" i="17"/>
  <c r="M756" i="17" s="1"/>
  <c r="L757" i="17"/>
  <c r="M757" i="17" s="1"/>
  <c r="L758" i="17"/>
  <c r="M758" i="17" s="1"/>
  <c r="L759" i="17"/>
  <c r="L760" i="17"/>
  <c r="M760" i="17" s="1"/>
  <c r="L761" i="17"/>
  <c r="M761" i="17" s="1"/>
  <c r="L762" i="17"/>
  <c r="M762" i="17" s="1"/>
  <c r="L763" i="17"/>
  <c r="L764" i="17"/>
  <c r="L765" i="17"/>
  <c r="M765" i="17" s="1"/>
  <c r="L766" i="17"/>
  <c r="M766" i="17" s="1"/>
  <c r="L767" i="17"/>
  <c r="L768" i="17"/>
  <c r="L769" i="17"/>
  <c r="M769" i="17" s="1"/>
  <c r="L770" i="17"/>
  <c r="L771" i="17"/>
  <c r="L772" i="17"/>
  <c r="M772" i="17" s="1"/>
  <c r="L773" i="17"/>
  <c r="M773" i="17" s="1"/>
  <c r="L774" i="17"/>
  <c r="M774" i="17" s="1"/>
  <c r="L775" i="17"/>
  <c r="L776" i="17"/>
  <c r="M776" i="17" s="1"/>
  <c r="L777" i="17"/>
  <c r="M777" i="17" s="1"/>
  <c r="L778" i="17"/>
  <c r="M778" i="17" s="1"/>
  <c r="L779" i="17"/>
  <c r="L780" i="17"/>
  <c r="L781" i="17"/>
  <c r="M781" i="17" s="1"/>
  <c r="L782" i="17"/>
  <c r="M782" i="17" s="1"/>
  <c r="L783" i="17"/>
  <c r="L784" i="17"/>
  <c r="L785" i="17"/>
  <c r="M785" i="17" s="1"/>
  <c r="L786" i="17"/>
  <c r="L787" i="17"/>
  <c r="L788" i="17"/>
  <c r="M788" i="17" s="1"/>
  <c r="L789" i="17"/>
  <c r="M789" i="17" s="1"/>
  <c r="L790" i="17"/>
  <c r="M790" i="17" s="1"/>
  <c r="L791" i="17"/>
  <c r="L792" i="17"/>
  <c r="M792" i="17" s="1"/>
  <c r="L793" i="17"/>
  <c r="M793" i="17" s="1"/>
  <c r="L794" i="17"/>
  <c r="M794" i="17" s="1"/>
  <c r="L795" i="17"/>
  <c r="L796" i="17"/>
  <c r="L797" i="17"/>
  <c r="M797" i="17" s="1"/>
  <c r="L798" i="17"/>
  <c r="M798" i="17" s="1"/>
  <c r="L799" i="17"/>
  <c r="L800" i="17"/>
  <c r="L801" i="17"/>
  <c r="M801" i="17" s="1"/>
  <c r="L802" i="17"/>
  <c r="L803" i="17"/>
  <c r="L804" i="17"/>
  <c r="M804" i="17" s="1"/>
  <c r="L805" i="17"/>
  <c r="M805" i="17" s="1"/>
  <c r="L806" i="17"/>
  <c r="M806" i="17" s="1"/>
  <c r="L807" i="17"/>
  <c r="L808" i="17"/>
  <c r="M808" i="17" s="1"/>
  <c r="L809" i="17"/>
  <c r="M809" i="17" s="1"/>
  <c r="L810" i="17"/>
  <c r="M810" i="17" s="1"/>
  <c r="L811" i="17"/>
  <c r="L812" i="17"/>
  <c r="L813" i="17"/>
  <c r="M813" i="17" s="1"/>
  <c r="L814" i="17"/>
  <c r="M814" i="17" s="1"/>
  <c r="L815" i="17"/>
  <c r="L816" i="17"/>
  <c r="L817" i="17"/>
  <c r="M817" i="17" s="1"/>
  <c r="L818" i="17"/>
  <c r="L819" i="17"/>
  <c r="L820" i="17"/>
  <c r="M820" i="17" s="1"/>
  <c r="L821" i="17"/>
  <c r="M821" i="17" s="1"/>
  <c r="L822" i="17"/>
  <c r="M822" i="17" s="1"/>
  <c r="L823" i="17"/>
  <c r="L824" i="17"/>
  <c r="M824" i="17" s="1"/>
  <c r="L825" i="17"/>
  <c r="M825" i="17" s="1"/>
  <c r="L826" i="17"/>
  <c r="M826" i="17" s="1"/>
  <c r="L827" i="17"/>
  <c r="L828" i="17"/>
  <c r="L829" i="17"/>
  <c r="M829" i="17" s="1"/>
  <c r="L830" i="17"/>
  <c r="M830" i="17" s="1"/>
  <c r="L831" i="17"/>
  <c r="L832" i="17"/>
  <c r="L833" i="17"/>
  <c r="M833" i="17" s="1"/>
  <c r="L834" i="17"/>
  <c r="L835" i="17"/>
  <c r="L836" i="17"/>
  <c r="M836" i="17" s="1"/>
  <c r="L837" i="17"/>
  <c r="M837" i="17" s="1"/>
  <c r="L838" i="17"/>
  <c r="M838" i="17" s="1"/>
  <c r="L839" i="17"/>
  <c r="L840" i="17"/>
  <c r="M840" i="17" s="1"/>
  <c r="L841" i="17"/>
  <c r="M841" i="17" s="1"/>
  <c r="L842" i="17"/>
  <c r="M842" i="17" s="1"/>
  <c r="L843" i="17"/>
  <c r="L844" i="17"/>
  <c r="L845" i="17"/>
  <c r="M845" i="17" s="1"/>
  <c r="L846" i="17"/>
  <c r="M846" i="17" s="1"/>
  <c r="L847" i="17"/>
  <c r="L848" i="17"/>
  <c r="L849" i="17"/>
  <c r="M849" i="17" s="1"/>
  <c r="L850" i="17"/>
  <c r="L851" i="17"/>
  <c r="L852" i="17"/>
  <c r="M852" i="17" s="1"/>
  <c r="L853" i="17"/>
  <c r="M853" i="17" s="1"/>
  <c r="L854" i="17"/>
  <c r="M854" i="17" s="1"/>
  <c r="L855" i="17"/>
  <c r="L856" i="17"/>
  <c r="M856" i="17" s="1"/>
  <c r="L857" i="17"/>
  <c r="M857" i="17" s="1"/>
  <c r="L858" i="17"/>
  <c r="M858" i="17" s="1"/>
  <c r="L859" i="17"/>
  <c r="L860" i="17"/>
  <c r="L861" i="17"/>
  <c r="M861" i="17" s="1"/>
  <c r="L862" i="17"/>
  <c r="M862" i="17" s="1"/>
  <c r="L863" i="17"/>
  <c r="L864" i="17"/>
  <c r="L865" i="17"/>
  <c r="M865" i="17" s="1"/>
  <c r="L866" i="17"/>
  <c r="L867" i="17"/>
  <c r="L868" i="17"/>
  <c r="M868" i="17" s="1"/>
  <c r="L869" i="17"/>
  <c r="M869" i="17" s="1"/>
  <c r="L870" i="17"/>
  <c r="M870" i="17" s="1"/>
  <c r="L871" i="17"/>
  <c r="L872" i="17"/>
  <c r="M872" i="17" s="1"/>
  <c r="L873" i="17"/>
  <c r="M873" i="17" s="1"/>
  <c r="L874" i="17"/>
  <c r="M874" i="17" s="1"/>
  <c r="L875" i="17"/>
  <c r="L876" i="17"/>
  <c r="L877" i="17"/>
  <c r="M877" i="17" s="1"/>
  <c r="L878" i="17"/>
  <c r="M878" i="17" s="1"/>
  <c r="L879" i="17"/>
  <c r="L880" i="17"/>
  <c r="L881" i="17"/>
  <c r="M881" i="17" s="1"/>
  <c r="L882" i="17"/>
  <c r="L883" i="17"/>
  <c r="L884" i="17"/>
  <c r="M884" i="17" s="1"/>
  <c r="L885" i="17"/>
  <c r="M885" i="17" s="1"/>
  <c r="L886" i="17"/>
  <c r="M886" i="17" s="1"/>
  <c r="L887" i="17"/>
  <c r="L888" i="17"/>
  <c r="M888" i="17" s="1"/>
  <c r="L889" i="17"/>
  <c r="M889" i="17" s="1"/>
  <c r="L890" i="17"/>
  <c r="M890" i="17" s="1"/>
  <c r="L891" i="17"/>
  <c r="L892" i="17"/>
  <c r="L893" i="17"/>
  <c r="M893" i="17" s="1"/>
  <c r="L894" i="17"/>
  <c r="M894" i="17" s="1"/>
  <c r="L895" i="17"/>
  <c r="L896" i="17"/>
  <c r="L897" i="17"/>
  <c r="M897" i="17" s="1"/>
  <c r="L898" i="17"/>
  <c r="L899" i="17"/>
  <c r="L900" i="17"/>
  <c r="M900" i="17" s="1"/>
  <c r="L901" i="17"/>
  <c r="M901" i="17" s="1"/>
  <c r="L902" i="17"/>
  <c r="M902" i="17" s="1"/>
  <c r="L903" i="17"/>
  <c r="L904" i="17"/>
  <c r="M904" i="17" s="1"/>
  <c r="L905" i="17"/>
  <c r="M905" i="17" s="1"/>
  <c r="L906" i="17"/>
  <c r="M906" i="17" s="1"/>
  <c r="L907" i="17"/>
  <c r="L908" i="17"/>
  <c r="L909" i="17"/>
  <c r="M909" i="17" s="1"/>
  <c r="L910" i="17"/>
  <c r="M910" i="17" s="1"/>
  <c r="L911" i="17"/>
  <c r="L912" i="17"/>
  <c r="L913" i="17"/>
  <c r="M913" i="17" s="1"/>
  <c r="L914" i="17"/>
  <c r="L915" i="17"/>
  <c r="L916" i="17"/>
  <c r="M916" i="17" s="1"/>
  <c r="L917" i="17"/>
  <c r="M917" i="17" s="1"/>
  <c r="L918" i="17"/>
  <c r="M918" i="17" s="1"/>
  <c r="L919" i="17"/>
  <c r="L920" i="17"/>
  <c r="M920" i="17" s="1"/>
  <c r="L921" i="17"/>
  <c r="M921" i="17" s="1"/>
  <c r="L922" i="17"/>
  <c r="M922" i="17" s="1"/>
  <c r="L923" i="17"/>
  <c r="L924" i="17"/>
  <c r="L925" i="17"/>
  <c r="M925" i="17" s="1"/>
  <c r="L926" i="17"/>
  <c r="M926" i="17" s="1"/>
  <c r="L927" i="17"/>
  <c r="L928" i="17"/>
  <c r="L929" i="17"/>
  <c r="M929" i="17" s="1"/>
  <c r="L930" i="17"/>
  <c r="L931" i="17"/>
  <c r="L932" i="17"/>
  <c r="M932" i="17" s="1"/>
  <c r="L933" i="17"/>
  <c r="M933" i="17" s="1"/>
  <c r="L934" i="17"/>
  <c r="M934" i="17" s="1"/>
  <c r="L935" i="17"/>
  <c r="L936" i="17"/>
  <c r="M936" i="17" s="1"/>
  <c r="L937" i="17"/>
  <c r="M937" i="17" s="1"/>
  <c r="L938" i="17"/>
  <c r="M938" i="17" s="1"/>
  <c r="L939" i="17"/>
  <c r="L940" i="17"/>
  <c r="L941" i="17"/>
  <c r="M941" i="17" s="1"/>
  <c r="L942" i="17"/>
  <c r="M942" i="17" s="1"/>
  <c r="L943" i="17"/>
  <c r="L944" i="17"/>
  <c r="L945" i="17"/>
  <c r="M945" i="17" s="1"/>
  <c r="L946" i="17"/>
  <c r="L947" i="17"/>
  <c r="L948" i="17"/>
  <c r="M948" i="17" s="1"/>
  <c r="L949" i="17"/>
  <c r="M949" i="17" s="1"/>
  <c r="L950" i="17"/>
  <c r="M950" i="17" s="1"/>
  <c r="L951" i="17"/>
  <c r="L952" i="17"/>
  <c r="M952" i="17" s="1"/>
  <c r="L953" i="17"/>
  <c r="M953" i="17" s="1"/>
  <c r="L954" i="17"/>
  <c r="M954" i="17" s="1"/>
  <c r="L955" i="17"/>
  <c r="L956" i="17"/>
  <c r="L957" i="17"/>
  <c r="M957" i="17" s="1"/>
  <c r="L958" i="17"/>
  <c r="M958" i="17" s="1"/>
  <c r="L959" i="17"/>
  <c r="L960" i="17"/>
  <c r="L961" i="17"/>
  <c r="M961" i="17" s="1"/>
  <c r="L962" i="17"/>
  <c r="L963" i="17"/>
  <c r="L964" i="17"/>
  <c r="M964" i="17" s="1"/>
  <c r="L965" i="17"/>
  <c r="M965" i="17" s="1"/>
  <c r="L966" i="17"/>
  <c r="M966" i="17" s="1"/>
  <c r="L967" i="17"/>
  <c r="L968" i="17"/>
  <c r="M968" i="17" s="1"/>
  <c r="L969" i="17"/>
  <c r="M969" i="17" s="1"/>
  <c r="L970" i="17"/>
  <c r="M970" i="17" s="1"/>
  <c r="L971" i="17"/>
  <c r="L972" i="17"/>
  <c r="L973" i="17"/>
  <c r="M973" i="17" s="1"/>
  <c r="L974" i="17"/>
  <c r="M974" i="17" s="1"/>
  <c r="L975" i="17"/>
  <c r="L976" i="17"/>
  <c r="L977" i="17"/>
  <c r="M977" i="17" s="1"/>
  <c r="L978" i="17"/>
  <c r="L979" i="17"/>
  <c r="L980" i="17"/>
  <c r="M980" i="17" s="1"/>
  <c r="L981" i="17"/>
  <c r="M981" i="17" s="1"/>
  <c r="L982" i="17"/>
  <c r="M982" i="17" s="1"/>
  <c r="L983" i="17"/>
  <c r="L984" i="17"/>
  <c r="M984" i="17" s="1"/>
  <c r="L985" i="17"/>
  <c r="M985" i="17" s="1"/>
  <c r="L986" i="17"/>
  <c r="M986" i="17" s="1"/>
  <c r="L987" i="17"/>
  <c r="L988" i="17"/>
  <c r="L989" i="17"/>
  <c r="M989" i="17" s="1"/>
  <c r="L990" i="17"/>
  <c r="M990" i="17" s="1"/>
  <c r="L991" i="17"/>
  <c r="L992" i="17"/>
  <c r="L993" i="17"/>
  <c r="M993" i="17" s="1"/>
  <c r="L994" i="17"/>
  <c r="L995" i="17"/>
  <c r="L996" i="17"/>
  <c r="M996" i="17" s="1"/>
  <c r="L997" i="17"/>
  <c r="M997" i="17" s="1"/>
  <c r="L998" i="17"/>
  <c r="M998" i="17" s="1"/>
  <c r="L999" i="17"/>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J34" i="17"/>
  <c r="O34" i="17" s="1"/>
  <c r="J35" i="17"/>
  <c r="O35" i="17" s="1"/>
  <c r="J36" i="17"/>
  <c r="O36" i="17" s="1"/>
  <c r="J37" i="17"/>
  <c r="O37" i="17" s="1"/>
  <c r="J38" i="17"/>
  <c r="O38" i="17" s="1"/>
  <c r="J39" i="17"/>
  <c r="O39" i="17" s="1"/>
  <c r="J40" i="17"/>
  <c r="O40" i="17" s="1"/>
  <c r="J41" i="17"/>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J55" i="17"/>
  <c r="O55" i="17" s="1"/>
  <c r="J56" i="17"/>
  <c r="O56" i="17" s="1"/>
  <c r="J57" i="17"/>
  <c r="O57" i="17" s="1"/>
  <c r="J58" i="17"/>
  <c r="O58" i="17" s="1"/>
  <c r="J59" i="17"/>
  <c r="O59" i="17" s="1"/>
  <c r="J60" i="17"/>
  <c r="O60" i="17" s="1"/>
  <c r="J61" i="17"/>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J186" i="17"/>
  <c r="O186" i="17" s="1"/>
  <c r="J187" i="17"/>
  <c r="O187" i="17" s="1"/>
  <c r="J188" i="17"/>
  <c r="O188" i="17" s="1"/>
  <c r="J189" i="17"/>
  <c r="O189" i="17" s="1"/>
  <c r="J190" i="17"/>
  <c r="O190" i="17" s="1"/>
  <c r="J191" i="17"/>
  <c r="O191" i="17" s="1"/>
  <c r="J192" i="17"/>
  <c r="O192" i="17" s="1"/>
  <c r="J193" i="17"/>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J243" i="17"/>
  <c r="O243" i="17" s="1"/>
  <c r="J244" i="17"/>
  <c r="O244" i="17" s="1"/>
  <c r="J245" i="17"/>
  <c r="O245" i="17" s="1"/>
  <c r="J246" i="17"/>
  <c r="O246" i="17" s="1"/>
  <c r="J247" i="17"/>
  <c r="O247" i="17" s="1"/>
  <c r="J248" i="17"/>
  <c r="O248" i="17" s="1"/>
  <c r="J249" i="17"/>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J431" i="17"/>
  <c r="O431" i="17" s="1"/>
  <c r="J432" i="17"/>
  <c r="O432" i="17" s="1"/>
  <c r="J433" i="17"/>
  <c r="O433" i="17" s="1"/>
  <c r="J434" i="17"/>
  <c r="O434" i="17" s="1"/>
  <c r="J435" i="17"/>
  <c r="O435" i="17" s="1"/>
  <c r="J436" i="17"/>
  <c r="O436" i="17" s="1"/>
  <c r="J437" i="17"/>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J474" i="17"/>
  <c r="O474" i="17" s="1"/>
  <c r="J475" i="17"/>
  <c r="O475" i="17" s="1"/>
  <c r="J476" i="17"/>
  <c r="O476" i="17" s="1"/>
  <c r="J477" i="17"/>
  <c r="O477" i="17" s="1"/>
  <c r="J478" i="17"/>
  <c r="O478" i="17" s="1"/>
  <c r="J479" i="17"/>
  <c r="O479" i="17" s="1"/>
  <c r="J480" i="17"/>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J538" i="17"/>
  <c r="O538" i="17" s="1"/>
  <c r="J539" i="17"/>
  <c r="O539" i="17" s="1"/>
  <c r="J540" i="17"/>
  <c r="O540" i="17" s="1"/>
  <c r="J541" i="17"/>
  <c r="O541" i="17" s="1"/>
  <c r="J542" i="17"/>
  <c r="O542" i="17" s="1"/>
  <c r="J543" i="17"/>
  <c r="O543" i="17" s="1"/>
  <c r="J544" i="17"/>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J602" i="17"/>
  <c r="O602" i="17" s="1"/>
  <c r="J603" i="17"/>
  <c r="O603" i="17" s="1"/>
  <c r="J604" i="17"/>
  <c r="O604" i="17" s="1"/>
  <c r="J605" i="17"/>
  <c r="O605" i="17" s="1"/>
  <c r="J606" i="17"/>
  <c r="O606" i="17" s="1"/>
  <c r="J607" i="17"/>
  <c r="O607" i="17" s="1"/>
  <c r="J608" i="17"/>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J666" i="17"/>
  <c r="O666" i="17" s="1"/>
  <c r="J667" i="17"/>
  <c r="O667" i="17" s="1"/>
  <c r="J668" i="17"/>
  <c r="O668" i="17" s="1"/>
  <c r="J669" i="17"/>
  <c r="O669" i="17" s="1"/>
  <c r="J670" i="17"/>
  <c r="O670" i="17" s="1"/>
  <c r="J671" i="17"/>
  <c r="O671" i="17" s="1"/>
  <c r="J672" i="17"/>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J721" i="17"/>
  <c r="O721" i="17" s="1"/>
  <c r="J722" i="17"/>
  <c r="O722" i="17" s="1"/>
  <c r="J723" i="17"/>
  <c r="O723" i="17" s="1"/>
  <c r="J724" i="17"/>
  <c r="O724" i="17" s="1"/>
  <c r="J725" i="17"/>
  <c r="O725" i="17" s="1"/>
  <c r="J726" i="17"/>
  <c r="O726" i="17" s="1"/>
  <c r="J727" i="17"/>
  <c r="O727" i="17" s="1"/>
  <c r="J728" i="17"/>
  <c r="O728" i="17" s="1"/>
  <c r="J729" i="17"/>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J750" i="17"/>
  <c r="O750" i="17" s="1"/>
  <c r="J751" i="17"/>
  <c r="O751" i="17" s="1"/>
  <c r="J752" i="17"/>
  <c r="O752" i="17" s="1"/>
  <c r="J753" i="17"/>
  <c r="O753" i="17" s="1"/>
  <c r="J754" i="17"/>
  <c r="O754" i="17" s="1"/>
  <c r="J755" i="17"/>
  <c r="O755" i="17" s="1"/>
  <c r="J756" i="17"/>
  <c r="O756" i="17" s="1"/>
  <c r="J757" i="17"/>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J849" i="17"/>
  <c r="O849" i="17" s="1"/>
  <c r="J850" i="17"/>
  <c r="O850" i="17" s="1"/>
  <c r="J851" i="17"/>
  <c r="O851" i="17" s="1"/>
  <c r="J852" i="17"/>
  <c r="O852" i="17" s="1"/>
  <c r="J853" i="17"/>
  <c r="O853" i="17" s="1"/>
  <c r="J854" i="17"/>
  <c r="O854" i="17" s="1"/>
  <c r="J855" i="17"/>
  <c r="O855" i="17" s="1"/>
  <c r="J856" i="17"/>
  <c r="O856" i="17" s="1"/>
  <c r="J857" i="17"/>
  <c r="J858" i="17"/>
  <c r="O858" i="17" s="1"/>
  <c r="J859" i="17"/>
  <c r="O859" i="17" s="1"/>
  <c r="J860" i="17"/>
  <c r="O860" i="17" s="1"/>
  <c r="J861" i="17"/>
  <c r="O861" i="17" s="1"/>
  <c r="J862" i="17"/>
  <c r="J863" i="17"/>
  <c r="O863" i="17" s="1"/>
  <c r="J864" i="17"/>
  <c r="O864" i="17" s="1"/>
  <c r="J865" i="17"/>
  <c r="O865" i="17" s="1"/>
  <c r="J866" i="17"/>
  <c r="O866" i="17" s="1"/>
  <c r="J867" i="17"/>
  <c r="O867" i="17" s="1"/>
  <c r="J868" i="17"/>
  <c r="O868" i="17" s="1"/>
  <c r="J869" i="17"/>
  <c r="J870" i="17"/>
  <c r="O870" i="17" s="1"/>
  <c r="J871" i="17"/>
  <c r="O871" i="17" s="1"/>
  <c r="J872" i="17"/>
  <c r="O872" i="17" s="1"/>
  <c r="J873" i="17"/>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J891" i="17"/>
  <c r="O891" i="17" s="1"/>
  <c r="J892" i="17"/>
  <c r="O892" i="17" s="1"/>
  <c r="J893" i="17"/>
  <c r="O893" i="17" s="1"/>
  <c r="J894" i="17"/>
  <c r="J895" i="17"/>
  <c r="O895" i="17" s="1"/>
  <c r="J896" i="17"/>
  <c r="O896" i="17" s="1"/>
  <c r="J897" i="17"/>
  <c r="O897" i="17" s="1"/>
  <c r="J898" i="17"/>
  <c r="O898" i="17" s="1"/>
  <c r="J899" i="17"/>
  <c r="O899" i="17" s="1"/>
  <c r="J900" i="17"/>
  <c r="O900" i="17" s="1"/>
  <c r="J901" i="17"/>
  <c r="J902" i="17"/>
  <c r="O902" i="17" s="1"/>
  <c r="J903" i="17"/>
  <c r="O903" i="17" s="1"/>
  <c r="J904" i="17"/>
  <c r="O904" i="17" s="1"/>
  <c r="J905" i="17"/>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J923" i="17"/>
  <c r="O923" i="17" s="1"/>
  <c r="J924" i="17"/>
  <c r="O924" i="17" s="1"/>
  <c r="J925" i="17"/>
  <c r="O925" i="17" s="1"/>
  <c r="J926" i="17"/>
  <c r="J927" i="17"/>
  <c r="O927" i="17" s="1"/>
  <c r="J928" i="17"/>
  <c r="O928" i="17" s="1"/>
  <c r="J929" i="17"/>
  <c r="O929" i="17" s="1"/>
  <c r="J930" i="17"/>
  <c r="O930" i="17" s="1"/>
  <c r="J931" i="17"/>
  <c r="O931" i="17" s="1"/>
  <c r="J932" i="17"/>
  <c r="O932" i="17" s="1"/>
  <c r="J933" i="17"/>
  <c r="J934" i="17"/>
  <c r="O934" i="17" s="1"/>
  <c r="J935" i="17"/>
  <c r="O935" i="17" s="1"/>
  <c r="J936" i="17"/>
  <c r="O936" i="17" s="1"/>
  <c r="J937" i="17"/>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J955" i="17"/>
  <c r="O955" i="17" s="1"/>
  <c r="J956" i="17"/>
  <c r="O956" i="17" s="1"/>
  <c r="J957" i="17"/>
  <c r="O957" i="17" s="1"/>
  <c r="J958" i="17"/>
  <c r="J959" i="17"/>
  <c r="O959" i="17" s="1"/>
  <c r="J960" i="17"/>
  <c r="O960" i="17" s="1"/>
  <c r="J961" i="17"/>
  <c r="O961" i="17" s="1"/>
  <c r="J962" i="17"/>
  <c r="O962" i="17" s="1"/>
  <c r="J963" i="17"/>
  <c r="O963" i="17" s="1"/>
  <c r="J964" i="17"/>
  <c r="O964" i="17" s="1"/>
  <c r="J965" i="17"/>
  <c r="J966" i="17"/>
  <c r="O966" i="17" s="1"/>
  <c r="J967" i="17"/>
  <c r="O967" i="17" s="1"/>
  <c r="J968" i="17"/>
  <c r="O968" i="17" s="1"/>
  <c r="J969" i="17"/>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J987" i="17"/>
  <c r="O987" i="17" s="1"/>
  <c r="J988" i="17"/>
  <c r="O988" i="17" s="1"/>
  <c r="J989" i="17"/>
  <c r="O989" i="17" s="1"/>
  <c r="J990" i="17"/>
  <c r="J991" i="17"/>
  <c r="O991" i="17" s="1"/>
  <c r="J992" i="17"/>
  <c r="O992" i="17" s="1"/>
  <c r="J993" i="17"/>
  <c r="O993" i="17" s="1"/>
  <c r="J994" i="17"/>
  <c r="O994" i="17" s="1"/>
  <c r="J995" i="17"/>
  <c r="O995" i="17" s="1"/>
  <c r="J996" i="17"/>
  <c r="O996" i="17" s="1"/>
  <c r="J997" i="17"/>
  <c r="J998" i="17"/>
  <c r="O998" i="17" s="1"/>
  <c r="J999" i="17"/>
  <c r="O999" i="17" s="1"/>
  <c r="J1000" i="17"/>
  <c r="O1000" i="17" s="1"/>
  <c r="J1001" i="17"/>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I19" i="17"/>
  <c r="N19" i="17" s="1"/>
  <c r="I20" i="17"/>
  <c r="N20" i="17" s="1"/>
  <c r="I21" i="17"/>
  <c r="N21" i="17" s="1"/>
  <c r="I22" i="17"/>
  <c r="I23" i="17"/>
  <c r="N23" i="17" s="1"/>
  <c r="I24" i="17"/>
  <c r="N24" i="17" s="1"/>
  <c r="I25" i="17"/>
  <c r="N25" i="17" s="1"/>
  <c r="I26" i="17"/>
  <c r="N26" i="17" s="1"/>
  <c r="I27" i="17"/>
  <c r="N27" i="17" s="1"/>
  <c r="I28" i="17"/>
  <c r="N28" i="17" s="1"/>
  <c r="I29" i="17"/>
  <c r="I30" i="17"/>
  <c r="N30" i="17" s="1"/>
  <c r="I31" i="17"/>
  <c r="N31" i="17" s="1"/>
  <c r="I32" i="17"/>
  <c r="N32" i="17" s="1"/>
  <c r="I33" i="17"/>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I51" i="17"/>
  <c r="N51" i="17" s="1"/>
  <c r="I52" i="17"/>
  <c r="N52" i="17" s="1"/>
  <c r="I53" i="17"/>
  <c r="N53" i="17" s="1"/>
  <c r="I54" i="17"/>
  <c r="I55" i="17"/>
  <c r="N55" i="17" s="1"/>
  <c r="I56" i="17"/>
  <c r="N56" i="17" s="1"/>
  <c r="I57" i="17"/>
  <c r="N57" i="17" s="1"/>
  <c r="I58" i="17"/>
  <c r="N58" i="17" s="1"/>
  <c r="I59" i="17"/>
  <c r="N59" i="17" s="1"/>
  <c r="I60" i="17"/>
  <c r="N60" i="17" s="1"/>
  <c r="I61" i="17"/>
  <c r="I62" i="17"/>
  <c r="N62" i="17" s="1"/>
  <c r="I63" i="17"/>
  <c r="N63" i="17" s="1"/>
  <c r="I64" i="17"/>
  <c r="N64" i="17" s="1"/>
  <c r="I65" i="17"/>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I83" i="17"/>
  <c r="N83" i="17" s="1"/>
  <c r="I84" i="17"/>
  <c r="N84" i="17" s="1"/>
  <c r="I85" i="17"/>
  <c r="N85" i="17" s="1"/>
  <c r="I86" i="17"/>
  <c r="I87" i="17"/>
  <c r="N87" i="17" s="1"/>
  <c r="I88" i="17"/>
  <c r="N88" i="17" s="1"/>
  <c r="I89" i="17"/>
  <c r="N89" i="17" s="1"/>
  <c r="I90" i="17"/>
  <c r="N90" i="17" s="1"/>
  <c r="I91" i="17"/>
  <c r="N91" i="17" s="1"/>
  <c r="I92" i="17"/>
  <c r="N92" i="17" s="1"/>
  <c r="I93" i="17"/>
  <c r="I94" i="17"/>
  <c r="N94" i="17" s="1"/>
  <c r="I95" i="17"/>
  <c r="N95" i="17" s="1"/>
  <c r="I96" i="17"/>
  <c r="N96" i="17" s="1"/>
  <c r="I97" i="17"/>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I115" i="17"/>
  <c r="N115" i="17" s="1"/>
  <c r="I116" i="17"/>
  <c r="N116" i="17" s="1"/>
  <c r="I117" i="17"/>
  <c r="N117" i="17" s="1"/>
  <c r="I118" i="17"/>
  <c r="I119" i="17"/>
  <c r="N119" i="17" s="1"/>
  <c r="I120" i="17"/>
  <c r="N120" i="17" s="1"/>
  <c r="I121" i="17"/>
  <c r="N121" i="17" s="1"/>
  <c r="I122" i="17"/>
  <c r="N122" i="17" s="1"/>
  <c r="I123" i="17"/>
  <c r="N123" i="17" s="1"/>
  <c r="I124" i="17"/>
  <c r="N124" i="17" s="1"/>
  <c r="I125" i="17"/>
  <c r="I126" i="17"/>
  <c r="N126" i="17" s="1"/>
  <c r="I127" i="17"/>
  <c r="N127" i="17" s="1"/>
  <c r="I128" i="17"/>
  <c r="N128" i="17" s="1"/>
  <c r="I129" i="17"/>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I151" i="17"/>
  <c r="N151" i="17" s="1"/>
  <c r="I152" i="17"/>
  <c r="N152" i="17" s="1"/>
  <c r="I153" i="17"/>
  <c r="N153" i="17" s="1"/>
  <c r="I154" i="17"/>
  <c r="N154" i="17" s="1"/>
  <c r="I155" i="17"/>
  <c r="N155" i="17" s="1"/>
  <c r="I156" i="17"/>
  <c r="N156" i="17" s="1"/>
  <c r="I157" i="17"/>
  <c r="I158" i="17"/>
  <c r="N158" i="17" s="1"/>
  <c r="I159" i="17"/>
  <c r="N159" i="17" s="1"/>
  <c r="I160" i="17"/>
  <c r="N160" i="17" s="1"/>
  <c r="I161" i="17"/>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I183" i="17"/>
  <c r="N183" i="17" s="1"/>
  <c r="I184" i="17"/>
  <c r="N184" i="17" s="1"/>
  <c r="I185" i="17"/>
  <c r="N185" i="17" s="1"/>
  <c r="I186" i="17"/>
  <c r="N186" i="17" s="1"/>
  <c r="I187" i="17"/>
  <c r="N187" i="17" s="1"/>
  <c r="I188" i="17"/>
  <c r="N188" i="17" s="1"/>
  <c r="I189" i="17"/>
  <c r="I190" i="17"/>
  <c r="N190" i="17" s="1"/>
  <c r="I191" i="17"/>
  <c r="N191" i="17" s="1"/>
  <c r="I192" i="17"/>
  <c r="N192" i="17" s="1"/>
  <c r="I193" i="17"/>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I222" i="17"/>
  <c r="N222" i="17" s="1"/>
  <c r="I223" i="17"/>
  <c r="N223" i="17" s="1"/>
  <c r="I224" i="17"/>
  <c r="N224" i="17" s="1"/>
  <c r="I225" i="17"/>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I254" i="17"/>
  <c r="N254" i="17" s="1"/>
  <c r="I255" i="17"/>
  <c r="N255" i="17" s="1"/>
  <c r="I256" i="17"/>
  <c r="N256" i="17" s="1"/>
  <c r="I257" i="17"/>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I286" i="17"/>
  <c r="N286" i="17" s="1"/>
  <c r="I287" i="17"/>
  <c r="N287" i="17" s="1"/>
  <c r="I288" i="17"/>
  <c r="N288" i="17" s="1"/>
  <c r="I289" i="17"/>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I318" i="17"/>
  <c r="N318" i="17" s="1"/>
  <c r="I319" i="17"/>
  <c r="N319" i="17" s="1"/>
  <c r="I320" i="17"/>
  <c r="N320" i="17" s="1"/>
  <c r="I321" i="17"/>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I350" i="17"/>
  <c r="N350" i="17" s="1"/>
  <c r="I351" i="17"/>
  <c r="N351" i="17" s="1"/>
  <c r="I352" i="17"/>
  <c r="N352" i="17" s="1"/>
  <c r="I353" i="17"/>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I382" i="17"/>
  <c r="N382" i="17" s="1"/>
  <c r="I383" i="17"/>
  <c r="N383" i="17" s="1"/>
  <c r="I384" i="17"/>
  <c r="N384" i="17" s="1"/>
  <c r="I385" i="17"/>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I414" i="17"/>
  <c r="N414" i="17" s="1"/>
  <c r="I415" i="17"/>
  <c r="N415" i="17" s="1"/>
  <c r="I416" i="17"/>
  <c r="N416" i="17" s="1"/>
  <c r="I417" i="17"/>
  <c r="N417" i="17" s="1"/>
  <c r="I418" i="17"/>
  <c r="N418" i="17" s="1"/>
  <c r="I419" i="17"/>
  <c r="N419" i="17" s="1"/>
  <c r="I420" i="17"/>
  <c r="N420" i="17" s="1"/>
  <c r="I421" i="17"/>
  <c r="I422" i="17"/>
  <c r="N422" i="17" s="1"/>
  <c r="I423" i="17"/>
  <c r="N423" i="17" s="1"/>
  <c r="I424" i="17"/>
  <c r="N424" i="17" s="1"/>
  <c r="I425" i="17"/>
  <c r="N425" i="17" s="1"/>
  <c r="I426" i="17"/>
  <c r="N426" i="17" s="1"/>
  <c r="I427" i="17"/>
  <c r="N427" i="17" s="1"/>
  <c r="I428" i="17"/>
  <c r="N428" i="17" s="1"/>
  <c r="I429" i="17"/>
  <c r="I430" i="17"/>
  <c r="N430" i="17" s="1"/>
  <c r="I431" i="17"/>
  <c r="N431" i="17" s="1"/>
  <c r="I432" i="17"/>
  <c r="N432" i="17" s="1"/>
  <c r="I433" i="17"/>
  <c r="N433" i="17" s="1"/>
  <c r="I434" i="17"/>
  <c r="N434" i="17" s="1"/>
  <c r="I435" i="17"/>
  <c r="N435" i="17" s="1"/>
  <c r="I436" i="17"/>
  <c r="N436" i="17" s="1"/>
  <c r="I437" i="17"/>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I450" i="17"/>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I478" i="17"/>
  <c r="N478" i="17" s="1"/>
  <c r="I479" i="17"/>
  <c r="N479" i="17" s="1"/>
  <c r="I480" i="17"/>
  <c r="N480" i="17" s="1"/>
  <c r="I481" i="17"/>
  <c r="N481" i="17" s="1"/>
  <c r="I482" i="17"/>
  <c r="N482" i="17" s="1"/>
  <c r="I483" i="17"/>
  <c r="N483" i="17" s="1"/>
  <c r="I484" i="17"/>
  <c r="N484" i="17" s="1"/>
  <c r="I485" i="17"/>
  <c r="I486" i="17"/>
  <c r="N486" i="17" s="1"/>
  <c r="I487" i="17"/>
  <c r="N487" i="17" s="1"/>
  <c r="I488" i="17"/>
  <c r="N488" i="17" s="1"/>
  <c r="I489" i="17"/>
  <c r="N489" i="17" s="1"/>
  <c r="I490" i="17"/>
  <c r="N490" i="17" s="1"/>
  <c r="I491" i="17"/>
  <c r="N491" i="17" s="1"/>
  <c r="I492" i="17"/>
  <c r="N492" i="17" s="1"/>
  <c r="I493" i="17"/>
  <c r="I494" i="17"/>
  <c r="N494" i="17" s="1"/>
  <c r="I495" i="17"/>
  <c r="N495" i="17" s="1"/>
  <c r="I496" i="17"/>
  <c r="N496" i="17" s="1"/>
  <c r="I497" i="17"/>
  <c r="N497" i="17" s="1"/>
  <c r="I498" i="17"/>
  <c r="N498" i="17" s="1"/>
  <c r="I499" i="17"/>
  <c r="N499" i="17" s="1"/>
  <c r="I500" i="17"/>
  <c r="N500" i="17" s="1"/>
  <c r="I501" i="17"/>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I514" i="17"/>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I542" i="17"/>
  <c r="N542" i="17" s="1"/>
  <c r="I543" i="17"/>
  <c r="N543" i="17" s="1"/>
  <c r="I544" i="17"/>
  <c r="N544" i="17" s="1"/>
  <c r="I545" i="17"/>
  <c r="N545" i="17" s="1"/>
  <c r="I546" i="17"/>
  <c r="N546" i="17" s="1"/>
  <c r="I547" i="17"/>
  <c r="N547" i="17" s="1"/>
  <c r="I548" i="17"/>
  <c r="N548" i="17" s="1"/>
  <c r="I549" i="17"/>
  <c r="I550" i="17"/>
  <c r="N550" i="17" s="1"/>
  <c r="I551" i="17"/>
  <c r="N551" i="17" s="1"/>
  <c r="I552" i="17"/>
  <c r="N552" i="17" s="1"/>
  <c r="I553" i="17"/>
  <c r="N553" i="17" s="1"/>
  <c r="I554" i="17"/>
  <c r="N554" i="17" s="1"/>
  <c r="I555" i="17"/>
  <c r="N555" i="17" s="1"/>
  <c r="I556" i="17"/>
  <c r="N556" i="17" s="1"/>
  <c r="I557" i="17"/>
  <c r="I558" i="17"/>
  <c r="N558" i="17" s="1"/>
  <c r="I559" i="17"/>
  <c r="N559" i="17" s="1"/>
  <c r="I560" i="17"/>
  <c r="N560" i="17" s="1"/>
  <c r="I561" i="17"/>
  <c r="N561" i="17" s="1"/>
  <c r="I562" i="17"/>
  <c r="N562" i="17" s="1"/>
  <c r="I563" i="17"/>
  <c r="N563" i="17" s="1"/>
  <c r="I564" i="17"/>
  <c r="N564" i="17" s="1"/>
  <c r="I565" i="17"/>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I578" i="17"/>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I606" i="17"/>
  <c r="N606" i="17" s="1"/>
  <c r="I607" i="17"/>
  <c r="N607" i="17" s="1"/>
  <c r="I608" i="17"/>
  <c r="N608" i="17" s="1"/>
  <c r="I609" i="17"/>
  <c r="N609" i="17" s="1"/>
  <c r="I610" i="17"/>
  <c r="N610" i="17" s="1"/>
  <c r="I611" i="17"/>
  <c r="N611" i="17" s="1"/>
  <c r="I612" i="17"/>
  <c r="N612" i="17" s="1"/>
  <c r="I613" i="17"/>
  <c r="I614" i="17"/>
  <c r="N614" i="17" s="1"/>
  <c r="I615" i="17"/>
  <c r="N615" i="17" s="1"/>
  <c r="I616" i="17"/>
  <c r="N616" i="17" s="1"/>
  <c r="I617" i="17"/>
  <c r="N617" i="17" s="1"/>
  <c r="I618" i="17"/>
  <c r="N618" i="17" s="1"/>
  <c r="I619" i="17"/>
  <c r="N619" i="17" s="1"/>
  <c r="I620" i="17"/>
  <c r="N620" i="17" s="1"/>
  <c r="I621" i="17"/>
  <c r="I622" i="17"/>
  <c r="N622" i="17" s="1"/>
  <c r="I623" i="17"/>
  <c r="N623" i="17" s="1"/>
  <c r="I624" i="17"/>
  <c r="N624" i="17" s="1"/>
  <c r="I625" i="17"/>
  <c r="N625" i="17" s="1"/>
  <c r="I626" i="17"/>
  <c r="N626" i="17" s="1"/>
  <c r="I627" i="17"/>
  <c r="N627" i="17" s="1"/>
  <c r="I628" i="17"/>
  <c r="N628" i="17" s="1"/>
  <c r="I629" i="17"/>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I642" i="17"/>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I670" i="17"/>
  <c r="N670" i="17" s="1"/>
  <c r="I671" i="17"/>
  <c r="N671" i="17" s="1"/>
  <c r="I672" i="17"/>
  <c r="N672" i="17" s="1"/>
  <c r="I673" i="17"/>
  <c r="N673" i="17" s="1"/>
  <c r="I674" i="17"/>
  <c r="N674" i="17" s="1"/>
  <c r="I675" i="17"/>
  <c r="N675" i="17" s="1"/>
  <c r="I676" i="17"/>
  <c r="N676" i="17" s="1"/>
  <c r="I677" i="17"/>
  <c r="I678" i="17"/>
  <c r="N678" i="17" s="1"/>
  <c r="I679" i="17"/>
  <c r="N679" i="17" s="1"/>
  <c r="I680" i="17"/>
  <c r="N680" i="17" s="1"/>
  <c r="I681" i="17"/>
  <c r="N681" i="17" s="1"/>
  <c r="I682" i="17"/>
  <c r="N682" i="17" s="1"/>
  <c r="I683" i="17"/>
  <c r="N683" i="17" s="1"/>
  <c r="I684" i="17"/>
  <c r="N684" i="17" s="1"/>
  <c r="I685" i="17"/>
  <c r="I686" i="17"/>
  <c r="N686" i="17" s="1"/>
  <c r="I687" i="17"/>
  <c r="N687" i="17" s="1"/>
  <c r="I688" i="17"/>
  <c r="N688" i="17" s="1"/>
  <c r="I689" i="17"/>
  <c r="N689" i="17" s="1"/>
  <c r="I690" i="17"/>
  <c r="N690" i="17" s="1"/>
  <c r="I691" i="17"/>
  <c r="N691" i="17" s="1"/>
  <c r="I692" i="17"/>
  <c r="N692" i="17" s="1"/>
  <c r="I693" i="17"/>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I706" i="17"/>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I779" i="17"/>
  <c r="N779" i="17" s="1"/>
  <c r="I780" i="17"/>
  <c r="N780" i="17" s="1"/>
  <c r="I781" i="17"/>
  <c r="N781" i="17" s="1"/>
  <c r="I782" i="17"/>
  <c r="N782" i="17" s="1"/>
  <c r="I783" i="17"/>
  <c r="N783" i="17" s="1"/>
  <c r="I784" i="17"/>
  <c r="N784" i="17" s="1"/>
  <c r="I785" i="17"/>
  <c r="N785" i="17" s="1"/>
  <c r="I786" i="17"/>
  <c r="N786" i="17" s="1"/>
  <c r="I787" i="17"/>
  <c r="N787" i="17" s="1"/>
  <c r="I788" i="17"/>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I811" i="17"/>
  <c r="N811" i="17" s="1"/>
  <c r="I812" i="17"/>
  <c r="N812" i="17" s="1"/>
  <c r="I813" i="17"/>
  <c r="N813" i="17" s="1"/>
  <c r="I814" i="17"/>
  <c r="N814" i="17" s="1"/>
  <c r="I815" i="17"/>
  <c r="N815" i="17" s="1"/>
  <c r="I816" i="17"/>
  <c r="N816" i="17" s="1"/>
  <c r="I817" i="17"/>
  <c r="N817" i="17" s="1"/>
  <c r="I818" i="17"/>
  <c r="N818" i="17" s="1"/>
  <c r="I819" i="17"/>
  <c r="N819" i="17" s="1"/>
  <c r="I820" i="17"/>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I843" i="17"/>
  <c r="N843" i="17" s="1"/>
  <c r="I844" i="17"/>
  <c r="N844" i="17" s="1"/>
  <c r="I845" i="17"/>
  <c r="N845" i="17" s="1"/>
  <c r="I846" i="17"/>
  <c r="N846" i="17" s="1"/>
  <c r="I847" i="17"/>
  <c r="N847" i="17" s="1"/>
  <c r="I848" i="17"/>
  <c r="N848" i="17" s="1"/>
  <c r="I849" i="17"/>
  <c r="N849" i="17" s="1"/>
  <c r="I850" i="17"/>
  <c r="N850" i="17" s="1"/>
  <c r="I851" i="17"/>
  <c r="N851" i="17" s="1"/>
  <c r="I852" i="17"/>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I875" i="17"/>
  <c r="N875" i="17" s="1"/>
  <c r="I876" i="17"/>
  <c r="N876" i="17" s="1"/>
  <c r="I877" i="17"/>
  <c r="N877" i="17" s="1"/>
  <c r="I878" i="17"/>
  <c r="N878" i="17" s="1"/>
  <c r="I879" i="17"/>
  <c r="N879" i="17" s="1"/>
  <c r="I880" i="17"/>
  <c r="N880" i="17" s="1"/>
  <c r="I881" i="17"/>
  <c r="N881" i="17" s="1"/>
  <c r="I882" i="17"/>
  <c r="N882" i="17" s="1"/>
  <c r="I883" i="17"/>
  <c r="N883" i="17" s="1"/>
  <c r="I884" i="17"/>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I907" i="17"/>
  <c r="N907" i="17" s="1"/>
  <c r="I908" i="17"/>
  <c r="N908" i="17" s="1"/>
  <c r="I909" i="17"/>
  <c r="N909" i="17" s="1"/>
  <c r="I910" i="17"/>
  <c r="N910" i="17" s="1"/>
  <c r="I911" i="17"/>
  <c r="N911" i="17" s="1"/>
  <c r="I912" i="17"/>
  <c r="N912" i="17" s="1"/>
  <c r="I913" i="17"/>
  <c r="N913" i="17" s="1"/>
  <c r="I914" i="17"/>
  <c r="N914" i="17" s="1"/>
  <c r="I915" i="17"/>
  <c r="N915" i="17" s="1"/>
  <c r="I916" i="17"/>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I939" i="17"/>
  <c r="N939" i="17" s="1"/>
  <c r="I940" i="17"/>
  <c r="N940" i="17" s="1"/>
  <c r="I941" i="17"/>
  <c r="N941" i="17" s="1"/>
  <c r="I942" i="17"/>
  <c r="N942" i="17" s="1"/>
  <c r="I943" i="17"/>
  <c r="N943" i="17" s="1"/>
  <c r="I944" i="17"/>
  <c r="N944" i="17" s="1"/>
  <c r="I945" i="17"/>
  <c r="N945" i="17" s="1"/>
  <c r="I946" i="17"/>
  <c r="N946" i="17" s="1"/>
  <c r="I947" i="17"/>
  <c r="N947" i="17" s="1"/>
  <c r="I948" i="17"/>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I971" i="17"/>
  <c r="N971" i="17" s="1"/>
  <c r="I972" i="17"/>
  <c r="N972" i="17" s="1"/>
  <c r="I973" i="17"/>
  <c r="N973" i="17" s="1"/>
  <c r="I974" i="17"/>
  <c r="N974" i="17" s="1"/>
  <c r="I975" i="17"/>
  <c r="N975" i="17" s="1"/>
  <c r="I976" i="17"/>
  <c r="N976" i="17" s="1"/>
  <c r="I977" i="17"/>
  <c r="N977" i="17" s="1"/>
  <c r="I978" i="17"/>
  <c r="N978" i="17" s="1"/>
  <c r="I979" i="17"/>
  <c r="N979" i="17" s="1"/>
  <c r="I980" i="17"/>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<sst xmlns="http://schemas.openxmlformats.org/spreadsheetml/2006/main" count="11131" uniqueCount="6222">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</sst>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7" formatCode="_([$$-409]* #,##0.00_);_([$$-409]* \(#,##0.00\);_([$$-409]* &quot;-&quot;??_);_(@_)"/>
    <numFmt numFmtId="168" formatCode="#,##0.0"/>
  </numFmts>
  <fonts count="4" x14ac:knownFonts="1">
    <font>
      <sz val="11"/>
      <color theme="1"/>
      <name val="Calibri"/>
      <family val="2"/>
      <scheme val="minor"/>
    </font>
    <font>
      <sz val="11"/>
      <color indexed="8"/>
      <name val="Calibri"/>
      <family val="2"/>
    </font>
    <font>
      <sz val="11"/>
      <color theme="1"/>
      <name val="Calibri"/>
      <family val="2"/>
      <scheme val="minor"/>
    </font>
    <font>
      <sz val="11"/>
      <color theme="5" tint="-0.49998474074526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0" fontId="0" fillId="0" borderId="0" xfId="0" pivotButton="1"/>
    <xf numFmtId="0" fontId="0" fillId="0" borderId="0" xfId="0" applyNumberFormat="1"/>
    <xf numFmtId="3" fontId="0" fillId="0" borderId="0" xfId="0" applyNumberFormat="1"/>
    <xf numFmtId="0" fontId="0" fillId="0" borderId="0" xfId="0" pivotButton="1" applyAlignment="1">
      <alignment horizontal="center"/>
    </xf>
    <xf numFmtId="0" fontId="0" fillId="0" borderId="0" xfId="0" applyAlignment="1">
      <alignment horizontal="center"/>
    </xf>
    <xf numFmtId="0" fontId="3" fillId="0" borderId="0" xfId="0" applyFont="1"/>
    <xf numFmtId="168" fontId="1" fillId="0" borderId="0" xfId="1" applyNumberFormat="1" applyFont="1" applyAlignment="1">
      <alignment vertical="center"/>
    </xf>
    <xf numFmtId="168" fontId="0" fillId="0" borderId="0" xfId="1" applyNumberFormat="1" applyFont="1"/>
  </cellXfs>
  <cellStyles count="2">
    <cellStyle name="Currency" xfId="1" builtinId="4"/>
    <cellStyle name="Normal" xfId="0" builtinId="0"/>
  </cellStyles>
  <dxfs count="9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alignment horizontal="center"/>
    </dxf>
    <dxf>
      <alignment horizontal="center"/>
    </dxf>
    <dxf>
      <numFmt numFmtId="3" formatCode="#,##0"/>
    </dxf>
    <dxf>
      <alignment horizontal="center"/>
    </dxf>
    <dxf>
      <alignment horizontal="center"/>
    </dxf>
    <dxf>
      <alignment horizontal="center"/>
    </dxf>
    <dxf>
      <alignment horizontal="center"/>
    </dxf>
    <dxf>
      <numFmt numFmtId="3" formatCode="#,##0"/>
    </dxf>
    <dxf>
      <alignment horizontal="center"/>
    </dxf>
    <dxf>
      <alignment horizontal="center"/>
    </dxf>
    <dxf>
      <numFmt numFmtId="3" formatCode="#,##0"/>
    </dxf>
    <dxf>
      <alignment horizontal="center"/>
    </dxf>
    <dxf>
      <alignment horizontal="center"/>
    </dxf>
    <dxf>
      <alignment horizontal="center"/>
    </dxf>
    <dxf>
      <alignment horizontal="center"/>
    </dxf>
    <dxf>
      <numFmt numFmtId="3" formatCode="#,##0"/>
    </dxf>
    <dxf>
      <alignment horizontal="center"/>
    </dxf>
    <dxf>
      <alignment horizontal="center"/>
    </dxf>
    <dxf>
      <numFmt numFmtId="3" formatCode="#,##0"/>
    </dxf>
    <dxf>
      <alignment horizontal="center"/>
    </dxf>
    <dxf>
      <alignment horizontal="center"/>
    </dxf>
    <dxf>
      <alignment horizontal="center"/>
    </dxf>
    <dxf>
      <alignment horizontal="center"/>
    </dxf>
    <dxf>
      <numFmt numFmtId="3" formatCode="#,##0"/>
    </dxf>
    <dxf>
      <alignment horizontal="center"/>
    </dxf>
    <dxf>
      <alignment horizontal="center"/>
    </dxf>
    <dxf>
      <numFmt numFmtId="3" formatCode="#,##0"/>
    </dxf>
    <dxf>
      <numFmt numFmtId="168" formatCode="#,##0.0"/>
    </dxf>
    <dxf>
      <numFmt numFmtId="167" formatCode="_([$$-409]* #,##0.00_);_([$$-409]* \(#,##0.00\);_([$$-409]*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alignment horizontal="center"/>
    </dxf>
    <dxf>
      <alignment horizontal="center"/>
    </dxf>
    <dxf>
      <numFmt numFmtId="3" formatCode="#,##0"/>
    </dxf>
    <dxf>
      <numFmt numFmtId="0" formatCode="General"/>
    </dxf>
    <dxf>
      <font>
        <b/>
        <i val="0"/>
        <sz val="11"/>
        <color theme="7" tint="0.59996337778862885"/>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alignment horizontal="center"/>
    </dxf>
    <dxf>
      <alignment horizontal="cent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yellowww" pivot="0" table="0" count="8" xr9:uid="{DDD14CAD-8991-4F0E-AC8A-E23383D50E06}">
      <tableStyleElement type="wholeTable" dxfId="86"/>
      <tableStyleElement type="headerRow" dxfId="85"/>
    </tableStyle>
    <tableStyle name="ylow" pivot="0" table="0" count="8" xr9:uid="{113F510B-AC7E-49C6-A836-FAAC9AB700C3}">
      <tableStyleElement type="wholeTable" dxfId="84"/>
      <tableStyleElement type="headerRow" dxfId="83"/>
    </tableStyle>
  </tableStyles>
  <colors>
    <mruColors>
      <color rgb="FF14D0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yellowww">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ylow">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[coffeeOrdersData_FInal.xlsx]TotalSales!PivotTable1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ysClr val="windowText" lastClr="000000"/>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4D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14D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14D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TotalSales!$C$5:$C$48</c:f>
              <c:numCache>
                <c:formatCode>General</c:formatCode>
                <c:ptCount val="43"/>
                <c:pt idx="0">
                  <c:v>77.699999999999989</c:v>
                </c:pt>
                <c:pt idx="1">
                  <c:v>67.339999999999989</c:v>
                </c:pt>
                <c:pt idx="2">
                  <c:v>59.569999999999993</c:v>
                </c:pt>
                <c:pt idx="3">
                  <c:v>64.75</c:v>
                </c:pt>
                <c:pt idx="4">
                  <c:v>29.784999999999997</c:v>
                </c:pt>
                <c:pt idx="6">
                  <c:v>89.35499999999999</c:v>
                </c:pt>
                <c:pt idx="7">
                  <c:v>213.67499999999998</c:v>
                </c:pt>
                <c:pt idx="8">
                  <c:v>178.70999999999998</c:v>
                </c:pt>
                <c:pt idx="9">
                  <c:v>103.6</c:v>
                </c:pt>
                <c:pt idx="13">
                  <c:v>134.67999999999998</c:v>
                </c:pt>
                <c:pt idx="14">
                  <c:v>23.31</c:v>
                </c:pt>
                <c:pt idx="16">
                  <c:v>226.62499999999997</c:v>
                </c:pt>
                <c:pt idx="17">
                  <c:v>23.31</c:v>
                </c:pt>
                <c:pt idx="21">
                  <c:v>38.849999999999994</c:v>
                </c:pt>
                <c:pt idx="23">
                  <c:v>23.31</c:v>
                </c:pt>
                <c:pt idx="24">
                  <c:v>46.62</c:v>
                </c:pt>
                <c:pt idx="25">
                  <c:v>89.35499999999999</c:v>
                </c:pt>
                <c:pt idx="28">
                  <c:v>77.699999999999989</c:v>
                </c:pt>
                <c:pt idx="29">
                  <c:v>31.08</c:v>
                </c:pt>
                <c:pt idx="31">
                  <c:v>257.70499999999998</c:v>
                </c:pt>
                <c:pt idx="32">
                  <c:v>3.8849999999999998</c:v>
                </c:pt>
                <c:pt idx="33">
                  <c:v>11.654999999999999</c:v>
                </c:pt>
                <c:pt idx="34">
                  <c:v>155.39999999999998</c:v>
                </c:pt>
                <c:pt idx="35">
                  <c:v>23.31</c:v>
                </c:pt>
                <c:pt idx="36">
                  <c:v>49.209999999999994</c:v>
                </c:pt>
                <c:pt idx="38">
                  <c:v>7.77</c:v>
                </c:pt>
                <c:pt idx="40">
                  <c:v>46.62</c:v>
                </c:pt>
                <c:pt idx="41">
                  <c:v>31.08</c:v>
                </c:pt>
                <c:pt idx="42">
                  <c:v>38.849999999999994</c:v>
                </c:pt>
              </c:numCache>
            </c:numRef>
          </c:val>
          <c:smooth val="0"/>
          <c:extLst>
            <c:ext xmlns:c16="http://schemas.microsoft.com/office/drawing/2014/chart" uri="{C3380CC4-5D6E-409C-BE32-E72D297353CC}">
              <c16:uniqueId val="{00000000-0607-4FE2-85E8-F3E908C383CC}"/>
            </c:ext>
          </c:extLst>
        </c:ser>
        <c:ser>
          <c:idx val="1"/>
          <c:order val="1"/>
          <c:tx>
            <c:strRef>
              <c:f>TotalSales!$D$3:$D$4</c:f>
              <c:strCache>
                <c:ptCount val="1"/>
                <c:pt idx="0">
                  <c:v>Excelsa</c:v>
                </c:pt>
              </c:strCache>
            </c:strRef>
          </c:tx>
          <c:spPr>
            <a:ln w="28575" cap="rnd">
              <a:solidFill>
                <a:srgbClr val="FF0000">
                  <a:alpha val="98000"/>
                </a:srgbClr>
              </a:solidFill>
              <a:round/>
            </a:ln>
            <a:effectLst/>
          </c:spPr>
          <c:marker>
            <c:symbol val="none"/>
          </c:marker>
          <c:cat>
            <c:multiLvlStrRef>
              <c:f>TotalSales!$A$5:$B$48</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TotalSales!$D$5:$D$48</c:f>
              <c:numCache>
                <c:formatCode>General</c:formatCode>
                <c:ptCount val="43"/>
                <c:pt idx="0">
                  <c:v>53.46</c:v>
                </c:pt>
                <c:pt idx="3">
                  <c:v>181.16999999999996</c:v>
                </c:pt>
                <c:pt idx="5">
                  <c:v>341.54999999999995</c:v>
                </c:pt>
                <c:pt idx="6">
                  <c:v>204.92999999999995</c:v>
                </c:pt>
                <c:pt idx="9">
                  <c:v>86.13</c:v>
                </c:pt>
                <c:pt idx="11">
                  <c:v>204.92999999999995</c:v>
                </c:pt>
                <c:pt idx="13">
                  <c:v>81.674999999999997</c:v>
                </c:pt>
                <c:pt idx="14">
                  <c:v>49.004999999999995</c:v>
                </c:pt>
                <c:pt idx="15">
                  <c:v>53.46</c:v>
                </c:pt>
                <c:pt idx="16">
                  <c:v>72.765000000000001</c:v>
                </c:pt>
                <c:pt idx="18">
                  <c:v>35.64</c:v>
                </c:pt>
                <c:pt idx="19">
                  <c:v>53.46</c:v>
                </c:pt>
                <c:pt idx="20">
                  <c:v>17.82</c:v>
                </c:pt>
                <c:pt idx="22">
                  <c:v>169.28999999999996</c:v>
                </c:pt>
                <c:pt idx="25">
                  <c:v>53.46</c:v>
                </c:pt>
                <c:pt idx="26">
                  <c:v>8.91</c:v>
                </c:pt>
                <c:pt idx="27">
                  <c:v>53.46</c:v>
                </c:pt>
                <c:pt idx="31">
                  <c:v>89.1</c:v>
                </c:pt>
                <c:pt idx="32">
                  <c:v>68.309999999999988</c:v>
                </c:pt>
                <c:pt idx="33">
                  <c:v>103.94999999999999</c:v>
                </c:pt>
                <c:pt idx="35">
                  <c:v>50.49</c:v>
                </c:pt>
                <c:pt idx="37">
                  <c:v>147.01499999999999</c:v>
                </c:pt>
                <c:pt idx="38">
                  <c:v>44.55</c:v>
                </c:pt>
                <c:pt idx="40">
                  <c:v>218.29499999999996</c:v>
                </c:pt>
                <c:pt idx="41">
                  <c:v>59.4</c:v>
                </c:pt>
              </c:numCache>
            </c:numRef>
          </c:val>
          <c:smooth val="0"/>
          <c:extLst>
            <c:ext xmlns:c16="http://schemas.microsoft.com/office/drawing/2014/chart" uri="{C3380CC4-5D6E-409C-BE32-E72D297353CC}">
              <c16:uniqueId val="{00000001-0607-4FE2-85E8-F3E908C383CC}"/>
            </c:ext>
          </c:extLst>
        </c:ser>
        <c:ser>
          <c:idx val="2"/>
          <c:order val="2"/>
          <c:tx>
            <c:strRef>
              <c:f>TotalSales!$E$3:$E$4</c:f>
              <c:strCache>
                <c:ptCount val="1"/>
                <c:pt idx="0">
                  <c:v>Liberica</c:v>
                </c:pt>
              </c:strCache>
            </c:strRef>
          </c:tx>
          <c:spPr>
            <a:ln w="28575" cap="rnd">
              <a:solidFill>
                <a:srgbClr val="7030A0"/>
              </a:solidFill>
              <a:round/>
            </a:ln>
            <a:effectLst/>
          </c:spPr>
          <c:marker>
            <c:symbol val="none"/>
          </c:marker>
          <c:cat>
            <c:multiLvlStrRef>
              <c:f>TotalSales!$A$5:$B$48</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TotalSales!$E$5:$E$48</c:f>
              <c:numCache>
                <c:formatCode>General</c:formatCode>
                <c:ptCount val="43"/>
                <c:pt idx="0">
                  <c:v>50.72</c:v>
                </c:pt>
                <c:pt idx="2">
                  <c:v>85.59</c:v>
                </c:pt>
                <c:pt idx="3">
                  <c:v>210.80499999999998</c:v>
                </c:pt>
                <c:pt idx="6">
                  <c:v>171.18</c:v>
                </c:pt>
                <c:pt idx="7">
                  <c:v>15.85</c:v>
                </c:pt>
                <c:pt idx="8">
                  <c:v>91.929999999999993</c:v>
                </c:pt>
                <c:pt idx="10">
                  <c:v>187.02999999999997</c:v>
                </c:pt>
                <c:pt idx="12">
                  <c:v>42.795000000000002</c:v>
                </c:pt>
                <c:pt idx="14">
                  <c:v>63.4</c:v>
                </c:pt>
                <c:pt idx="16">
                  <c:v>23.774999999999999</c:v>
                </c:pt>
                <c:pt idx="17">
                  <c:v>131.55500000000001</c:v>
                </c:pt>
                <c:pt idx="18">
                  <c:v>28.53</c:v>
                </c:pt>
                <c:pt idx="20">
                  <c:v>31.7</c:v>
                </c:pt>
                <c:pt idx="22">
                  <c:v>47.55</c:v>
                </c:pt>
                <c:pt idx="23">
                  <c:v>80.834999999999994</c:v>
                </c:pt>
                <c:pt idx="24">
                  <c:v>101.44</c:v>
                </c:pt>
                <c:pt idx="25">
                  <c:v>109.36499999999999</c:v>
                </c:pt>
                <c:pt idx="26">
                  <c:v>285.29999999999995</c:v>
                </c:pt>
                <c:pt idx="27">
                  <c:v>101.44</c:v>
                </c:pt>
                <c:pt idx="29">
                  <c:v>52.305</c:v>
                </c:pt>
                <c:pt idx="30">
                  <c:v>28.53</c:v>
                </c:pt>
                <c:pt idx="32">
                  <c:v>129.97</c:v>
                </c:pt>
                <c:pt idx="33">
                  <c:v>41.21</c:v>
                </c:pt>
                <c:pt idx="34">
                  <c:v>9.51</c:v>
                </c:pt>
                <c:pt idx="35">
                  <c:v>240.92</c:v>
                </c:pt>
                <c:pt idx="36">
                  <c:v>41.21</c:v>
                </c:pt>
                <c:pt idx="38">
                  <c:v>38.04</c:v>
                </c:pt>
                <c:pt idx="39">
                  <c:v>79.25</c:v>
                </c:pt>
                <c:pt idx="40">
                  <c:v>145.82</c:v>
                </c:pt>
                <c:pt idx="41">
                  <c:v>79.25</c:v>
                </c:pt>
              </c:numCache>
            </c:numRef>
          </c:val>
          <c:smooth val="0"/>
          <c:extLst>
            <c:ext xmlns:c16="http://schemas.microsoft.com/office/drawing/2014/chart" uri="{C3380CC4-5D6E-409C-BE32-E72D297353CC}">
              <c16:uniqueId val="{00000002-0607-4FE2-85E8-F3E908C383CC}"/>
            </c:ext>
          </c:extLst>
        </c:ser>
        <c:ser>
          <c:idx val="3"/>
          <c:order val="3"/>
          <c:tx>
            <c:strRef>
              <c:f>TotalSales!$F$3:$F$4</c:f>
              <c:strCache>
                <c:ptCount val="1"/>
                <c:pt idx="0">
                  <c:v>Robusta</c:v>
                </c:pt>
              </c:strCache>
            </c:strRef>
          </c:tx>
          <c:spPr>
            <a:ln w="28575" cap="rnd">
              <a:solidFill>
                <a:srgbClr val="14D000"/>
              </a:solidFill>
              <a:round/>
            </a:ln>
            <a:effectLst/>
          </c:spPr>
          <c:marker>
            <c:symbol val="none"/>
          </c:marker>
          <c:cat>
            <c:multiLvlStrRef>
              <c:f>TotalSales!$A$5:$B$48</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TotalSales!$F$5:$F$48</c:f>
              <c:numCache>
                <c:formatCode>General</c:formatCode>
                <c:ptCount val="43"/>
                <c:pt idx="0">
                  <c:v>21.509999999999998</c:v>
                </c:pt>
                <c:pt idx="1">
                  <c:v>71.699999999999989</c:v>
                </c:pt>
                <c:pt idx="2">
                  <c:v>28.679999999999996</c:v>
                </c:pt>
                <c:pt idx="3">
                  <c:v>21.509999999999998</c:v>
                </c:pt>
                <c:pt idx="5">
                  <c:v>17.924999999999997</c:v>
                </c:pt>
                <c:pt idx="9">
                  <c:v>164.91</c:v>
                </c:pt>
                <c:pt idx="10">
                  <c:v>7.169999999999999</c:v>
                </c:pt>
                <c:pt idx="11">
                  <c:v>58.554999999999993</c:v>
                </c:pt>
                <c:pt idx="12">
                  <c:v>146.98500000000001</c:v>
                </c:pt>
                <c:pt idx="13">
                  <c:v>371.64499999999992</c:v>
                </c:pt>
                <c:pt idx="17">
                  <c:v>143.39999999999998</c:v>
                </c:pt>
                <c:pt idx="18">
                  <c:v>35.849999999999994</c:v>
                </c:pt>
                <c:pt idx="19">
                  <c:v>215.09999999999997</c:v>
                </c:pt>
                <c:pt idx="20">
                  <c:v>43.019999999999996</c:v>
                </c:pt>
                <c:pt idx="25">
                  <c:v>71.699999999999989</c:v>
                </c:pt>
                <c:pt idx="26">
                  <c:v>23.9</c:v>
                </c:pt>
                <c:pt idx="27">
                  <c:v>179.24999999999997</c:v>
                </c:pt>
                <c:pt idx="28">
                  <c:v>17.924999999999997</c:v>
                </c:pt>
                <c:pt idx="29">
                  <c:v>145.78999999999996</c:v>
                </c:pt>
                <c:pt idx="30">
                  <c:v>21.509999999999998</c:v>
                </c:pt>
                <c:pt idx="31">
                  <c:v>145.78999999999996</c:v>
                </c:pt>
                <c:pt idx="32">
                  <c:v>88.429999999999993</c:v>
                </c:pt>
                <c:pt idx="34">
                  <c:v>185.22499999999997</c:v>
                </c:pt>
                <c:pt idx="35">
                  <c:v>23.9</c:v>
                </c:pt>
                <c:pt idx="36">
                  <c:v>35.849999999999994</c:v>
                </c:pt>
                <c:pt idx="37">
                  <c:v>114.71999999999998</c:v>
                </c:pt>
                <c:pt idx="38">
                  <c:v>21.509999999999998</c:v>
                </c:pt>
                <c:pt idx="39">
                  <c:v>14.339999999999998</c:v>
                </c:pt>
                <c:pt idx="40">
                  <c:v>7.169999999999999</c:v>
                </c:pt>
                <c:pt idx="41">
                  <c:v>14.339999999999998</c:v>
                </c:pt>
                <c:pt idx="42">
                  <c:v>10.754999999999999</c:v>
                </c:pt>
              </c:numCache>
            </c:numRef>
          </c:val>
          <c:smooth val="0"/>
          <c:extLst>
            <c:ext xmlns:c16="http://schemas.microsoft.com/office/drawing/2014/chart" uri="{C3380CC4-5D6E-409C-BE32-E72D297353CC}">
              <c16:uniqueId val="{00000003-0607-4FE2-85E8-F3E908C383CC}"/>
            </c:ext>
          </c:extLst>
        </c:ser>
        <c:dLbls>
          <c:showLegendKey val="0"/>
          <c:showVal val="0"/>
          <c:showCatName val="0"/>
          <c:showSerName val="0"/>
          <c:showPercent val="0"/>
          <c:showBubbleSize val="0"/>
        </c:dLbls>
        <c:smooth val="0"/>
        <c:axId val="362205568"/>
        <c:axId val="362205088"/>
      </c:lineChart>
      <c:catAx>
        <c:axId val="3622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05088"/>
        <c:crosses val="autoZero"/>
        <c:auto val="1"/>
        <c:lblAlgn val="ctr"/>
        <c:lblOffset val="100"/>
        <c:noMultiLvlLbl val="0"/>
      </c:catAx>
      <c:valAx>
        <c:axId val="362205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05568"/>
        <c:crosses val="autoZero"/>
        <c:crossBetween val="between"/>
      </c:valAx>
      <c:spPr>
        <a:pattFill prst="ltHorz">
          <a:fgClr>
            <a:schemeClr val="accent5">
              <a:lumMod val="20000"/>
              <a:lumOff val="8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alpha val="91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[coffeeOrdersData_FInal.xlsx]CountryBarChart!PivotTable1</c:name>
    <c:fmtId val="3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2000" b="1">
                <a:solidFill>
                  <a:schemeClr val="tx1"/>
                </a:solidFill>
              </a:rPr>
              <a:t>Sales By Country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wdDnDiag">
            <a:fgClr>
              <a:schemeClr val="accent4">
                <a:lumMod val="40000"/>
                <a:lumOff val="60000"/>
              </a:schemeClr>
            </a:fgClr>
            <a:bgClr>
              <a:schemeClr val="bg1"/>
            </a:bgClr>
          </a:pattFill>
          <a:ln cap="sq">
            <a:solidFill>
              <a:srgbClr val="7030A0"/>
            </a:solid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wdDnDiag">
            <a:fgClr>
              <a:schemeClr val="accent4">
                <a:lumMod val="40000"/>
                <a:lumOff val="60000"/>
              </a:schemeClr>
            </a:fgClr>
            <a:bgClr>
              <a:schemeClr val="bg1"/>
            </a:bgClr>
          </a:pattFill>
          <a:ln cap="sq">
            <a:solidFill>
              <a:srgbClr val="7030A0"/>
            </a:solidFill>
          </a:ln>
          <a:effectLst/>
        </c:spPr>
      </c:pivotFmt>
      <c:pivotFmt>
        <c:idx val="2"/>
        <c:spPr>
          <a:pattFill prst="wdDnDiag">
            <a:fgClr>
              <a:schemeClr val="accent4">
                <a:lumMod val="40000"/>
                <a:lumOff val="60000"/>
              </a:schemeClr>
            </a:fgClr>
            <a:bgClr>
              <a:schemeClr val="bg1"/>
            </a:bgClr>
          </a:pattFill>
          <a:ln cap="sq">
            <a:solidFill>
              <a:srgbClr val="7030A0"/>
            </a:solidFill>
          </a:ln>
          <a:effectLst/>
        </c:spPr>
      </c:pivotFmt>
      <c:pivotFmt>
        <c:idx val="3"/>
        <c:spPr>
          <a:pattFill prst="wdDnDiag">
            <a:fgClr>
              <a:schemeClr val="accent4">
                <a:lumMod val="40000"/>
                <a:lumOff val="60000"/>
              </a:schemeClr>
            </a:fgClr>
            <a:bgClr>
              <a:schemeClr val="bg1"/>
            </a:bgClr>
          </a:pattFill>
          <a:ln cap="sq">
            <a:solidFill>
              <a:srgbClr val="7030A0"/>
            </a:solidFill>
          </a:ln>
          <a:effectLst/>
        </c:spPr>
      </c:pivotFmt>
      <c:pivotFmt>
        <c:idx val="4"/>
        <c:spPr>
          <a:pattFill prst="wdDnDiag">
            <a:fgClr>
              <a:schemeClr val="accent4">
                <a:lumMod val="40000"/>
                <a:lumOff val="60000"/>
              </a:schemeClr>
            </a:fgClr>
            <a:bgClr>
              <a:schemeClr val="bg1"/>
            </a:bgClr>
          </a:pattFill>
          <a:ln cap="sq">
            <a:solidFill>
              <a:srgbClr val="7030A0"/>
            </a:solid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wdDnDiag">
            <a:fgClr>
              <a:schemeClr val="accent4">
                <a:lumMod val="40000"/>
                <a:lumOff val="60000"/>
              </a:schemeClr>
            </a:fgClr>
            <a:bgClr>
              <a:schemeClr val="bg1"/>
            </a:bgClr>
          </a:pattFill>
          <a:ln cap="sq">
            <a:solidFill>
              <a:srgbClr val="7030A0"/>
            </a:solid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23608783300807"/>
          <c:y val="0.20484707403345415"/>
          <c:w val="0.67899444033360035"/>
          <c:h val="0.68815994944836256"/>
        </c:manualLayout>
      </c:layout>
      <c:barChart>
        <c:barDir val="bar"/>
        <c:grouping val="clustered"/>
        <c:varyColors val="0"/>
        <c:ser>
          <c:idx val="0"/>
          <c:order val="0"/>
          <c:tx>
            <c:strRef>
              <c:f>CountryBarChart!$B$3</c:f>
              <c:strCache>
                <c:ptCount val="1"/>
                <c:pt idx="0">
                  <c:v>Total</c:v>
                </c:pt>
              </c:strCache>
            </c:strRef>
          </c:tx>
          <c:spPr>
            <a:pattFill prst="wdDnDiag">
              <a:fgClr>
                <a:schemeClr val="accent4">
                  <a:lumMod val="40000"/>
                  <a:lumOff val="60000"/>
                </a:schemeClr>
              </a:fgClr>
              <a:bgClr>
                <a:schemeClr val="bg1"/>
              </a:bgClr>
            </a:pattFill>
            <a:ln cap="sq">
              <a:solidFill>
                <a:srgbClr val="7030A0"/>
              </a:solidFill>
            </a:ln>
            <a:effectLst/>
          </c:spPr>
          <c:invertIfNegative val="0"/>
          <c:cat>
            <c:strRef>
              <c:f>CountryBarChart!$A$4:$A$7</c:f>
              <c:strCache>
                <c:ptCount val="3"/>
                <c:pt idx="0">
                  <c:v>United Kingdom</c:v>
                </c:pt>
                <c:pt idx="1">
                  <c:v>Ireland</c:v>
                </c:pt>
                <c:pt idx="2">
                  <c:v>United States</c:v>
                </c:pt>
              </c:strCache>
            </c:strRef>
          </c:cat>
          <c:val>
            <c:numRef>
              <c:f>CountryBarChart!$B$4:$B$7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BEA-4135-96E2-BDADF8925719}"/>
            </c:ext>
          </c:extLst>
        </c:ser>
        <c:dLbls>
          <c:showLegendKey val="0"/>
          <c:showVal val="0"/>
          <c:showCatName val="0"/>
          <c:showSerName val="0"/>
          <c:showPercent val="0"/>
          <c:showBubbleSize val="0"/>
        </c:dLbls>
        <c:gapWidth val="119"/>
        <c:overlap val="-20"/>
        <c:axId val="362226208"/>
        <c:axId val="362231488"/>
      </c:barChart>
      <c:catAx>
        <c:axId val="362226208"/>
        <c:scaling>
          <c:orientation val="minMax"/>
        </c:scaling>
        <c:delete val="0"/>
        <c:axPos val="l"/>
        <c:numFmt formatCode="General" sourceLinked="1"/>
        <c:majorTickMark val="none"/>
        <c:minorTickMark val="none"/>
        <c:tickLblPos val="nextTo"/>
        <c:spPr>
          <a:noFill/>
          <a:ln w="3175" cap="flat" cmpd="sng" algn="ctr">
            <a:noFill/>
            <a:round/>
          </a:ln>
          <a:effectLst/>
        </c:spPr>
        <c:txPr>
          <a:bodyPr rot="-60000000" spcFirstLastPara="1" vertOverflow="ellipsis" vert="horz" wrap="square" anchor="ctr" anchorCtr="1"/>
          <a:lstStyle/>
          <a:p>
            <a:pPr>
              <a:defRPr sz="800" b="0" i="0" u="none" strike="noStrike" kern="1200" cap="all" spc="150" normalizeH="0" baseline="0">
                <a:ln w="12700">
                  <a:solidFill>
                    <a:schemeClr val="tx1">
                      <a:lumMod val="95000"/>
                      <a:lumOff val="5000"/>
                    </a:schemeClr>
                  </a:solidFill>
                </a:ln>
                <a:solidFill>
                  <a:schemeClr val="bg2">
                    <a:lumMod val="10000"/>
                    <a:alpha val="96000"/>
                  </a:schemeClr>
                </a:solidFill>
                <a:effectLst>
                  <a:glow>
                    <a:schemeClr val="accent1">
                      <a:alpha val="40000"/>
                    </a:schemeClr>
                  </a:glow>
                  <a:outerShdw blurRad="50800" dir="5400000" sx="1000" sy="1000" algn="ctr" rotWithShape="0">
                    <a:srgbClr val="000000">
                      <a:alpha val="43137"/>
                    </a:srgbClr>
                  </a:outerShdw>
                </a:effectLst>
                <a:latin typeface="+mn-lt"/>
                <a:ea typeface="+mn-ea"/>
                <a:cs typeface="+mn-cs"/>
              </a:defRPr>
            </a:pPr>
            <a:endParaRPr lang="en-US"/>
          </a:p>
        </c:txPr>
        <c:crossAx val="362231488"/>
        <c:crosses val="autoZero"/>
        <c:auto val="1"/>
        <c:lblAlgn val="ctr"/>
        <c:lblOffset val="100"/>
        <c:noMultiLvlLbl val="0"/>
      </c:catAx>
      <c:valAx>
        <c:axId val="362231488"/>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222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20000"/>
            <a:lumOff val="80000"/>
          </a:schemeClr>
        </a:gs>
        <a:gs pos="74000">
          <a:schemeClr val="accent4">
            <a:lumMod val="60000"/>
            <a:lumOff val="40000"/>
          </a:schemeClr>
        </a:gs>
        <a:gs pos="83000">
          <a:schemeClr val="accent4"/>
        </a:gs>
        <a:gs pos="100000">
          <a:schemeClr val="accent4"/>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[coffeeOrdersData_FInal.xlsx]TOP5Customers!PivotTable1</c:name>
    <c:fmtId val="3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2000" b="1">
                <a:solidFill>
                  <a:schemeClr val="tx1"/>
                </a:solidFill>
              </a:rPr>
              <a:t>TOP</a:t>
            </a:r>
            <a:r>
              <a:rPr lang="en-US" sz="2000" b="1" baseline="0">
                <a:solidFill>
                  <a:schemeClr val="tx1"/>
                </a:solidFill>
              </a:rPr>
              <a:t> 5 CUSTOMERs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wdDnDiag">
            <a:fgClr>
              <a:schemeClr val="accent4">
                <a:lumMod val="40000"/>
                <a:lumOff val="60000"/>
              </a:schemeClr>
            </a:fgClr>
            <a:bgClr>
              <a:schemeClr val="bg1"/>
            </a:bgClr>
          </a:pattFill>
          <a:ln cap="sq">
            <a:solidFill>
              <a:srgbClr val="7030A0"/>
            </a:solid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wdDnDiag">
            <a:fgClr>
              <a:schemeClr val="accent4">
                <a:lumMod val="40000"/>
                <a:lumOff val="60000"/>
              </a:schemeClr>
            </a:fgClr>
            <a:bgClr>
              <a:schemeClr val="bg1"/>
            </a:bgClr>
          </a:pattFill>
          <a:ln cap="sq">
            <a:solidFill>
              <a:srgbClr val="7030A0"/>
            </a:solidFill>
          </a:ln>
          <a:effectLst/>
        </c:spPr>
      </c:pivotFmt>
      <c:pivotFmt>
        <c:idx val="2"/>
        <c:spPr>
          <a:pattFill prst="wdDnDiag">
            <a:fgClr>
              <a:schemeClr val="accent4">
                <a:lumMod val="40000"/>
                <a:lumOff val="60000"/>
              </a:schemeClr>
            </a:fgClr>
            <a:bgClr>
              <a:schemeClr val="bg1"/>
            </a:bgClr>
          </a:pattFill>
          <a:ln cap="sq">
            <a:solidFill>
              <a:srgbClr val="7030A0"/>
            </a:solidFill>
          </a:ln>
          <a:effectLst/>
        </c:spPr>
      </c:pivotFmt>
      <c:pivotFmt>
        <c:idx val="3"/>
        <c:spPr>
          <a:pattFill prst="wdDnDiag">
            <a:fgClr>
              <a:schemeClr val="accent4">
                <a:lumMod val="40000"/>
                <a:lumOff val="60000"/>
              </a:schemeClr>
            </a:fgClr>
            <a:bgClr>
              <a:schemeClr val="bg1"/>
            </a:bgClr>
          </a:pattFill>
          <a:ln cap="sq">
            <a:solidFill>
              <a:srgbClr val="7030A0"/>
            </a:solidFill>
          </a:ln>
          <a:effectLst/>
        </c:spPr>
      </c:pivotFmt>
      <c:pivotFmt>
        <c:idx val="4"/>
        <c:spPr>
          <a:pattFill prst="trellis">
            <a:fgClr>
              <a:schemeClr val="accent4">
                <a:lumMod val="40000"/>
                <a:lumOff val="60000"/>
              </a:schemeClr>
            </a:fgClr>
            <a:bgClr>
              <a:schemeClr val="bg1"/>
            </a:bgClr>
          </a:pattFill>
          <a:ln cap="sq">
            <a:solidFill>
              <a:srgbClr val="7030A0"/>
            </a:solid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trellis">
            <a:fgClr>
              <a:schemeClr val="accent4">
                <a:lumMod val="40000"/>
                <a:lumOff val="60000"/>
              </a:schemeClr>
            </a:fgClr>
            <a:bgClr>
              <a:schemeClr val="bg1"/>
            </a:bgClr>
          </a:pattFill>
          <a:ln cap="sq">
            <a:solidFill>
              <a:srgbClr val="7030A0"/>
            </a:solid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trellis">
            <a:fgClr>
              <a:schemeClr val="accent4">
                <a:lumMod val="40000"/>
                <a:lumOff val="60000"/>
              </a:schemeClr>
            </a:fgClr>
            <a:bgClr>
              <a:schemeClr val="bg1"/>
            </a:bgClr>
          </a:pattFill>
          <a:ln cap="sq">
            <a:solidFill>
              <a:srgbClr val="7030A0"/>
            </a:solid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58314326958378"/>
          <c:y val="0.21006126388082536"/>
          <c:w val="0.67878041366066932"/>
          <c:h val="0.68022235388707797"/>
        </c:manualLayout>
      </c:layout>
      <c:barChart>
        <c:barDir val="bar"/>
        <c:grouping val="clustered"/>
        <c:varyColors val="0"/>
        <c:ser>
          <c:idx val="0"/>
          <c:order val="0"/>
          <c:tx>
            <c:strRef>
              <c:f>TOP5Customers!$B$3</c:f>
              <c:strCache>
                <c:ptCount val="1"/>
                <c:pt idx="0">
                  <c:v>Total</c:v>
                </c:pt>
              </c:strCache>
            </c:strRef>
          </c:tx>
          <c:spPr>
            <a:pattFill prst="trellis">
              <a:fgClr>
                <a:schemeClr val="accent4">
                  <a:lumMod val="40000"/>
                  <a:lumOff val="60000"/>
                </a:schemeClr>
              </a:fgClr>
              <a:bgClr>
                <a:schemeClr val="bg1"/>
              </a:bgClr>
            </a:pattFill>
            <a:ln cap="sq">
              <a:solidFill>
                <a:srgbClr val="7030A0"/>
              </a:solidFill>
            </a:ln>
            <a:effectLst/>
          </c:spPr>
          <c:invertIfNegative val="0"/>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ED6-4AA0-8142-05369FF78B00}"/>
            </c:ext>
          </c:extLst>
        </c:ser>
        <c:dLbls>
          <c:showLegendKey val="0"/>
          <c:showVal val="0"/>
          <c:showCatName val="0"/>
          <c:showSerName val="0"/>
          <c:showPercent val="0"/>
          <c:showBubbleSize val="0"/>
        </c:dLbls>
        <c:gapWidth val="91"/>
        <c:overlap val="10"/>
        <c:axId val="362226208"/>
        <c:axId val="362231488"/>
      </c:barChart>
      <c:catAx>
        <c:axId val="362226208"/>
        <c:scaling>
          <c:orientation val="minMax"/>
        </c:scaling>
        <c:delete val="0"/>
        <c:axPos val="l"/>
        <c:numFmt formatCode="General" sourceLinked="1"/>
        <c:majorTickMark val="none"/>
        <c:minorTickMark val="none"/>
        <c:tickLblPos val="nextTo"/>
        <c:spPr>
          <a:noFill/>
          <a:ln w="3175" cap="flat" cmpd="sng" algn="ctr">
            <a:noFill/>
            <a:round/>
          </a:ln>
          <a:effectLst/>
        </c:spPr>
        <c:txPr>
          <a:bodyPr rot="-60000000" spcFirstLastPara="1" vertOverflow="ellipsis" vert="horz" wrap="square" anchor="ctr" anchorCtr="1"/>
          <a:lstStyle/>
          <a:p>
            <a:pPr>
              <a:defRPr sz="800" b="0" i="0" u="none" strike="noStrike" kern="1200" cap="all" spc="150" normalizeH="0" baseline="0">
                <a:ln>
                  <a:solidFill>
                    <a:schemeClr val="tx1">
                      <a:lumMod val="95000"/>
                      <a:lumOff val="5000"/>
                    </a:schemeClr>
                  </a:solidFill>
                </a:ln>
                <a:solidFill>
                  <a:schemeClr val="bg2">
                    <a:lumMod val="10000"/>
                  </a:schemeClr>
                </a:solidFill>
                <a:effectLst>
                  <a:glow>
                    <a:schemeClr val="accent1">
                      <a:alpha val="40000"/>
                    </a:schemeClr>
                  </a:glow>
                  <a:outerShdw blurRad="50800" dist="50800" dir="5400000" sx="1000" sy="1000" algn="ctr" rotWithShape="0">
                    <a:srgbClr val="000000">
                      <a:alpha val="43137"/>
                    </a:srgbClr>
                  </a:outerShdw>
                </a:effectLst>
                <a:latin typeface="+mn-lt"/>
                <a:ea typeface="+mn-ea"/>
                <a:cs typeface="+mn-cs"/>
              </a:defRPr>
            </a:pPr>
            <a:endParaRPr lang="en-US"/>
          </a:p>
        </c:txPr>
        <c:crossAx val="362231488"/>
        <c:crosses val="autoZero"/>
        <c:auto val="1"/>
        <c:lblAlgn val="ctr"/>
        <c:lblOffset val="100"/>
        <c:noMultiLvlLbl val="0"/>
      </c:catAx>
      <c:valAx>
        <c:axId val="362231488"/>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222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19049</xdr:rowOff>
    </xdr:from>
    <xdr:to>
      <xdr:col>26</xdr:col>
      <xdr:colOff>12700</xdr:colOff>
      <xdr:row>4</xdr:row>
      <xdr:rowOff>136960</xdr:rowOff>
    </xdr:to>
    <xdr:sp macro="" textlink="">
      <xdr:nvSpPr>
        <xdr:cNvPr id="3" name="Rectangle 2">
          <a:extLst>
            <a:ext uri="{FF2B5EF4-FFF2-40B4-BE49-F238E27FC236}">
              <a16:creationId xmlns:a16="http://schemas.microsoft.com/office/drawing/2014/main" id="{3065CEC2-B7D2-8998-0948-6D51746D20D7}"/>
            </a:ext>
          </a:extLst>
        </xdr:cNvPr>
        <xdr:cNvSpPr/>
      </xdr:nvSpPr>
      <xdr:spPr>
        <a:xfrm>
          <a:off x="124759" y="81304"/>
          <a:ext cx="15252451" cy="678205"/>
        </a:xfrm>
        <a:prstGeom prst="rect">
          <a:avLst/>
        </a:prstGeom>
        <a:gradFill flip="none" rotWithShape="1">
          <a:gsLst>
            <a:gs pos="0">
              <a:schemeClr val="accent4">
                <a:lumMod val="60000"/>
                <a:lumOff val="40000"/>
              </a:schemeClr>
            </a:gs>
            <a:gs pos="48000">
              <a:schemeClr val="accent4"/>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4000" b="1">
              <a:solidFill>
                <a:sysClr val="windowText" lastClr="000000"/>
              </a:solidFill>
            </a:rPr>
            <a:t>COFFEE</a:t>
          </a:r>
          <a:r>
            <a:rPr lang="en-US" sz="4000" b="1" baseline="0">
              <a:solidFill>
                <a:sysClr val="windowText" lastClr="000000"/>
              </a:solidFill>
            </a:rPr>
            <a:t> SALES DASHBOARD</a:t>
          </a:r>
          <a:endParaRPr lang="en-US" sz="4000" b="1">
            <a:solidFill>
              <a:sysClr val="windowText" lastClr="000000"/>
            </a:solidFill>
          </a:endParaRPr>
        </a:p>
      </xdr:txBody>
    </xdr:sp>
    <xdr:clientData/>
  </xdr:twoCellAnchor>
  <xdr:twoCellAnchor>
    <xdr:from>
      <xdr:col>1</xdr:col>
      <xdr:colOff>6316</xdr:colOff>
      <xdr:row>14</xdr:row>
      <xdr:rowOff>55108</xdr:rowOff>
    </xdr:from>
    <xdr:to>
      <xdr:col>15</xdr:col>
      <xdr:colOff>561730</xdr:colOff>
      <xdr:row>35</xdr:row>
      <xdr:rowOff>125355</xdr:rowOff>
    </xdr:to>
    <xdr:graphicFrame macro="">
      <xdr:nvGraphicFramePr>
        <xdr:cNvPr id="4" name="Chart 3">
          <a:extLst>
            <a:ext uri="{FF2B5EF4-FFF2-40B4-BE49-F238E27FC236}">
              <a16:creationId xmlns:a16="http://schemas.microsoft.com/office/drawing/2014/main" id="{2874040F-4825-4499-A363-82DCA9E9D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5</xdr:row>
      <xdr:rowOff>0</xdr:rowOff>
    </xdr:from>
    <xdr:to>
      <xdr:col>9</xdr:col>
      <xdr:colOff>446387</xdr:colOff>
      <xdr:row>13</xdr:row>
      <xdr:rowOff>159449</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A6C1C1F8-D08E-4343-AE27-24366621657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6634" y="790510"/>
              <a:ext cx="5319039" cy="16108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518904</xdr:colOff>
      <xdr:row>8</xdr:row>
      <xdr:rowOff>170451</xdr:rowOff>
    </xdr:from>
    <xdr:to>
      <xdr:col>12</xdr:col>
      <xdr:colOff>535490</xdr:colOff>
      <xdr:row>14</xdr:row>
      <xdr:rowOff>4279</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88EFF8F9-BAA4-440E-8F5E-BCACB7EEBB7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5508190" y="1505247"/>
              <a:ext cx="1843831" cy="922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513810</xdr:colOff>
      <xdr:row>5</xdr:row>
      <xdr:rowOff>11489</xdr:rowOff>
    </xdr:from>
    <xdr:to>
      <xdr:col>15</xdr:col>
      <xdr:colOff>587256</xdr:colOff>
      <xdr:row>8</xdr:row>
      <xdr:rowOff>134864</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70B946C1-BF9B-4A7A-8967-A77F4AA31CF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5503096" y="801999"/>
              <a:ext cx="3727936" cy="667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608061</xdr:colOff>
      <xdr:row>8</xdr:row>
      <xdr:rowOff>181308</xdr:rowOff>
    </xdr:from>
    <xdr:to>
      <xdr:col>15</xdr:col>
      <xdr:colOff>591467</xdr:colOff>
      <xdr:row>14</xdr:row>
      <xdr:rowOff>1724</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EF375C7C-C891-4E39-B4FF-FE5CD3FC6DE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7424592" y="1516104"/>
              <a:ext cx="1810651" cy="908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134327</xdr:colOff>
      <xdr:row>5</xdr:row>
      <xdr:rowOff>0</xdr:rowOff>
    </xdr:from>
    <xdr:to>
      <xdr:col>25</xdr:col>
      <xdr:colOff>555625</xdr:colOff>
      <xdr:row>19</xdr:row>
      <xdr:rowOff>138914</xdr:rowOff>
    </xdr:to>
    <xdr:graphicFrame macro="">
      <xdr:nvGraphicFramePr>
        <xdr:cNvPr id="9" name="Chart 8">
          <a:extLst>
            <a:ext uri="{FF2B5EF4-FFF2-40B4-BE49-F238E27FC236}">
              <a16:creationId xmlns:a16="http://schemas.microsoft.com/office/drawing/2014/main" id="{5EC6A07F-5995-426E-B523-6B1803AF7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134293</xdr:colOff>
      <xdr:row>20</xdr:row>
      <xdr:rowOff>137298</xdr:rowOff>
    </xdr:from>
    <xdr:to>
      <xdr:col>25</xdr:col>
      <xdr:colOff>592666</xdr:colOff>
      <xdr:row>35</xdr:row>
      <xdr:rowOff>85498</xdr:rowOff>
    </xdr:to>
    <xdr:graphicFrame macro="">
      <xdr:nvGraphicFramePr>
        <xdr:cNvPr id="10" name="Chart 9">
          <a:extLst>
            <a:ext uri="{FF2B5EF4-FFF2-40B4-BE49-F238E27FC236}">
              <a16:creationId xmlns:a16="http://schemas.microsoft.com/office/drawing/2014/main" id="{E6FB9A77-5927-443B-96C9-72370E471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ka" refreshedDate="46183.566931134257" createdVersion="8" refreshedVersion="8" minRefreshableVersion="3" recordCount="1000" xr:uid="{2FB92692-09D9-415E-B8D8-C8D8CB91385A}">
  <cacheSource type="worksheet">
    <worksheetSource name="Orders"/>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82397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235326-20A0-44EA-BA83-9AE5194D75B5}" name="PivotTable1" cacheId="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4">
  <location ref="A3:B9" firstHeaderRow="1" firstDataRow="1" firstDataCol="1"/>
  <pivotFields count="18">
    <pivotField compact="0" outline="0" showAll="0" sortType="ascending"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pivotField compact="0" numFmtId="167" outline="0" showAll="0" defaultSubtotal="0"/>
    <pivotField dataField="1" compact="0" outline="0" showAll="0" defaultSubtotal="0"/>
    <pivotField compact="0" outline="0" showAll="0" insertPageBreak="1" defaultSubtotal="0">
      <items count="4">
        <item x="2"/>
        <item x="1"/>
        <item x="3"/>
        <item x="0"/>
      </items>
    </pivotField>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0" numFmtId="3"/>
  </dataFields>
  <formats count="3">
    <format dxfId="76">
      <pivotArea field="13" type="button" dataOnly="0" labelOnly="1" outline="0"/>
    </format>
    <format dxfId="77">
      <pivotArea type="topRight" dataOnly="0" labelOnly="1" outline="0" fieldPosition="0"/>
    </format>
    <format dxfId="78">
      <pivotArea outline="0" fieldPosition="0">
        <references count="1">
          <reference field="4294967294" count="1">
            <x v="0"/>
          </reference>
        </references>
      </pivotArea>
    </format>
  </formats>
  <chartFormats count="3">
    <chartFormat chart="10" format="211"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58BCF3-29E6-4FF3-AE68-993028798205}" name="PivotTable1" cacheId="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3">
  <location ref="A3:B7" firstHeaderRow="1" firstDataRow="1" firstDataCol="1"/>
  <pivotFields count="18">
    <pivotField compact="0" outline="0" showAll="0" sortType="ascending"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pivotField compact="0" numFmtId="167" outline="0" showAll="0" defaultSubtotal="0"/>
    <pivotField dataField="1" compact="0" outline="0" showAll="0" defaultSubtotal="0"/>
    <pivotField compact="0" outline="0" showAll="0" insertPageBreak="1" defaultSubtotal="0">
      <items count="4">
        <item x="2"/>
        <item x="1"/>
        <item x="3"/>
        <item x="0"/>
      </items>
    </pivotField>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0" numFmtId="3"/>
  </dataFields>
  <formats count="3">
    <format dxfId="79">
      <pivotArea field="13" type="button" dataOnly="0" labelOnly="1" outline="0"/>
    </format>
    <format dxfId="80">
      <pivotArea type="topRight" dataOnly="0" labelOnly="1" outline="0" fieldPosition="0"/>
    </format>
    <format dxfId="81">
      <pivotArea outline="0" fieldPosition="0">
        <references count="1">
          <reference field="4294967294" count="1">
            <x v="0"/>
          </reference>
        </references>
      </pivotArea>
    </format>
  </formats>
  <chartFormats count="1">
    <chartFormat chart="32"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6169FF-219B-4135-922C-DEA1A3304F2F}" name="PivotTable1" cacheId="6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G48" firstHeaderRow="1" firstDataRow="2" firstDataCol="2"/>
  <pivotFields count="18">
    <pivotField compact="0" outline="0" showAll="0" sortType="ascending"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7" outline="0" showAll="0" defaultSubtotal="0"/>
    <pivotField dataField="1" compact="0" outline="0" showAll="0" defaultSubtotal="0"/>
    <pivotField axis="axisCol" compact="0" outline="0" showAll="0" insertPageBreak="1"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0" baseItem="0"/>
  </dataFields>
  <formats count="2">
    <format dxfId="88">
      <pivotArea field="13" type="button" dataOnly="0" labelOnly="1" outline="0" axis="axisCol" fieldPosition="0"/>
    </format>
    <format dxfId="87">
      <pivotArea type="topRight" dataOnly="0" labelOnly="1" outline="0" fieldPosition="0"/>
    </format>
  </formats>
  <chartFormats count="4">
    <chartFormat chart="11" format="10" series="1">
      <pivotArea type="data" outline="0" fieldPosition="0">
        <references count="2">
          <reference field="4294967294" count="1" selected="0">
            <x v="0"/>
          </reference>
          <reference field="13" count="1" selected="0">
            <x v="0"/>
          </reference>
        </references>
      </pivotArea>
    </chartFormat>
    <chartFormat chart="11" format="11" series="1">
      <pivotArea type="data" outline="0" fieldPosition="0">
        <references count="2">
          <reference field="4294967294" count="1" selected="0">
            <x v="0"/>
          </reference>
          <reference field="13" count="1" selected="0">
            <x v="1"/>
          </reference>
        </references>
      </pivotArea>
    </chartFormat>
    <chartFormat chart="11" format="12" series="1">
      <pivotArea type="data" outline="0" fieldPosition="0">
        <references count="2">
          <reference field="4294967294" count="1" selected="0">
            <x v="0"/>
          </reference>
          <reference field="13" count="1" selected="0">
            <x v="2"/>
          </reference>
        </references>
      </pivotArea>
    </chartFormat>
    <chartFormat chart="11" format="1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1D12802-E28D-4C90-A9CA-00BC7C396A40}" sourceName="Size">
  <pivotTables>
    <pivotTable tabId="18" name="PivotTable1"/>
  </pivotTables>
  <data>
    <tabular pivotCacheId="198239712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93450F9-AB20-4FF9-B8EA-4ED96C00BDB3}" sourceName="Roast Type Name">
  <pivotTables>
    <pivotTable tabId="18" name="PivotTable1"/>
  </pivotTables>
  <data>
    <tabular pivotCacheId="1982397120">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1D85F53-82FF-4B78-B725-43B493DCCABE}" sourceName="Loyalty Card">
  <pivotTables>
    <pivotTable tabId="18" name="PivotTable1"/>
  </pivotTables>
  <data>
    <tabular pivotCacheId="1982397120">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01F41BA-BAC2-4E0E-8A71-8BB92A57677B}" cache="Slicer_Size" caption="Size" columnCount="2" style="SlicerStyleLight4" rowHeight="241300"/>
  <slicer name="Roast Type Name" xr10:uid="{AA7201D8-4F45-4CF9-B085-77F8FC06ABAE}" cache="Slicer_Roast_Type_Name" caption="Roast Type Name" columnCount="3" style="SlicerStyleLight2" rowHeight="241300"/>
  <slicer name="Loyalty Card" xr10:uid="{B55EFFA0-639C-4048-9B72-0E1621402692}" cache="Slicer_Loyalty_Card" caption="Loyalty Card"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A332BC-2922-41EC-B69B-52CFDB09E89F}" name="Orders" displayName="Orders" ref="A1:P1001" totalsRowShown="0" headerRowDxfId="89">
  <autoFilter ref="A1:P1001" xr:uid="{5AA332BC-2922-41EC-B69B-52CFDB09E89F}"/>
  <tableColumns count="16">
    <tableColumn id="1" xr3:uid="{78EA1F83-164B-4ECB-8CFE-10410BD62F7D}" name="Order ID" dataDxfId="96"/>
    <tableColumn id="2" xr3:uid="{56355CAD-BE21-449B-A22A-2E7A94353F7D}" name="Order Date" dataDxfId="95"/>
    <tableColumn id="3" xr3:uid="{CB0BE4F1-76AF-4DA3-AD04-BC7388343A3A}" name="Customer ID" dataDxfId="94"/>
    <tableColumn id="4" xr3:uid="{1CE92F13-7B29-43C5-AFC5-A8E23C6DD039}" name="Product ID"/>
    <tableColumn id="5" xr3:uid="{C6C252DE-3D13-43C4-B357-A769D7720419}" name="Quantity" dataDxfId="93"/>
    <tableColumn id="6" xr3:uid="{8714071F-F8E0-4E5E-8BD1-BD27E0EDF662}" name="Customer Name" dataDxfId="92">
      <calculatedColumnFormula>_xlfn.XLOOKUP(C2,customers!$A$1:$A$1001,customers!$B$1:$B$1001,,0)</calculatedColumnFormula>
    </tableColumn>
    <tableColumn id="7" xr3:uid="{722F350E-4A57-410F-9C17-8F84E067A208}" name="Email" dataDxfId="91">
      <calculatedColumnFormula>IF(_xlfn.XLOOKUP(C2,customers!$A$1:$A$1001,customers!$C$1:$C$1001,,0)=0,"",_xlfn.XLOOKUP(C2,customers!$A$1:$A$1001,customers!$C$1:$C$1001,,0))</calculatedColumnFormula>
    </tableColumn>
    <tableColumn id="8" xr3:uid="{21DBBA91-758C-43F9-9A32-74B1D1ED9E10}" name="Country" dataDxfId="90">
      <calculatedColumnFormula>_xlfn.XLOOKUP(C2,customers!$A$1:$A$1001,customers!$G$1:$G$1001,,0)</calculatedColumnFormula>
    </tableColumn>
    <tableColumn id="9" xr3:uid="{7297D840-2D37-4C77-B9A6-6D805C480EE2}" name="Coffee Type">
      <calculatedColumnFormula>_xlfn.XLOOKUP(orders!D2,products!$A$1:$A$49,products!$B$1:$B$49,,0)</calculatedColumnFormula>
    </tableColumn>
    <tableColumn id="10" xr3:uid="{C4FDB315-4A1E-4639-A628-F9200EDA2C7E}" name="Roast Type">
      <calculatedColumnFormula>_xlfn.XLOOKUP(D2,products!$A$1:$A$49,products!$C$1:$C$49,,0)</calculatedColumnFormula>
    </tableColumn>
    <tableColumn id="11" xr3:uid="{B5699D4B-BA78-4F9A-94B9-525BD8BEC5DD}" name="Size" dataDxfId="36" dataCellStyle="Currency">
      <calculatedColumnFormula>_xlfn.XLOOKUP(D2,products!$A$1:$A$49,products!$D$1:$D$49,,0)</calculatedColumnFormula>
    </tableColumn>
    <tableColumn id="12" xr3:uid="{7A066BA9-2581-4E1C-8E4F-B6A3D6E01479}" name="Unit Price" dataDxfId="37">
      <calculatedColumnFormula>_xlfn.XLOOKUP(D2,products!$A$1:$A$49,products!$E$1:$E$49,,0)</calculatedColumnFormula>
    </tableColumn>
    <tableColumn id="13" xr3:uid="{AFB67D43-3D0A-4033-A277-1F20F2A30CCA}" name="Sales">
      <calculatedColumnFormula>L2*E2</calculatedColumnFormula>
    </tableColumn>
    <tableColumn id="14" xr3:uid="{63815398-DE30-489C-A20A-353942BC995A}" name="Coffe Type Name">
      <calculatedColumnFormula>IF(I2="Rob","Robusta",IF(I2="Exc","Excelsa",IF(I2="Ara","Arabica",IF(I2="Lib","Liberica",""))))</calculatedColumnFormula>
    </tableColumn>
    <tableColumn id="15" xr3:uid="{69DE5CC7-7F24-4A19-9546-816603D15F00}" name="Roast Type Name">
      <calculatedColumnFormula>IF(J2="M","Medium",IF(J2="L","Light",IF(J2="D","Dark","")))</calculatedColumnFormula>
    </tableColumn>
    <tableColumn id="16" xr3:uid="{94D0A526-C69D-4FAA-9C4E-5A6C9F95EBD5}" name="Loyalty Card" dataDxfId="82">
      <calculatedColumnFormula>_xlfn.XLOOKUP(Orders[[#This Row],[Customer ID]],customers!$A$1:$A$1001,customers!$I$1:$I$1001,,0)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2598798-DA0A-40E4-B2BF-501B35A75323}" sourceName="Order Date">
  <pivotTables>
    <pivotTable tabId="18" name="PivotTable1"/>
  </pivotTables>
  <state minimalRefreshVersion="6" lastRefreshVersion="6" pivotCacheId="198239712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683C87A-057A-4455-8111-5FED8596151A}" cache="NativeTimeline_Order_Date" caption="Order Date" level="2" selectionLevel="2" scrollPosition="2020-05-22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5741-CEC2-4774-80A6-60F9670E859E}">
  <dimension ref="F1:F9"/>
  <sheetViews>
    <sheetView showGridLines="0" tabSelected="1" topLeftCell="B1" zoomScale="49" workbookViewId="0">
      <selection activeCell="Z41" sqref="Z41"/>
    </sheetView>
  </sheetViews>
  <sheetFormatPr defaultRowHeight="14.5" x14ac:dyDescent="0.35"/>
  <cols>
    <col min="1" max="1" width="1.6328125" customWidth="1"/>
  </cols>
  <sheetData>
    <row r="1" spans="6:6" ht="5" customHeight="1" x14ac:dyDescent="0.35"/>
    <row r="9" spans="6:6" x14ac:dyDescent="0.35">
      <c r="F9"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FDD0-57A2-4697-BEA0-6DB4CB9B2B84}">
  <dimension ref="A3:B9"/>
  <sheetViews>
    <sheetView zoomScale="85" zoomScaleNormal="71" workbookViewId="0">
      <selection activeCell="A7" sqref="A4:A8"/>
      <pivotSelection pane="bottomRight" showHeader="1" activeRow="6" click="1" r:id="rId1">
        <pivotArea dataOnly="0" labelOnly="1" outline="0" fieldPosition="0">
          <references count="1">
            <reference field="5" count="0"/>
          </references>
        </pivotArea>
      </pivotSelection>
    </sheetView>
  </sheetViews>
  <sheetFormatPr defaultRowHeight="14.5" x14ac:dyDescent="0.35"/>
  <cols>
    <col min="1" max="1" width="17.453125" bestFit="1" customWidth="1"/>
    <col min="2" max="2" width="11.54296875" bestFit="1" customWidth="1"/>
    <col min="3" max="198" width="12.81640625" bestFit="1" customWidth="1"/>
    <col min="199" max="199" width="15.6328125" bestFit="1" customWidth="1"/>
  </cols>
  <sheetData>
    <row r="3" spans="1:2" x14ac:dyDescent="0.35">
      <c r="A3" s="6" t="s">
        <v>4</v>
      </c>
      <c r="B3" s="10" t="s">
        <v>6221</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row r="9" spans="1:2" x14ac:dyDescent="0.35">
      <c r="A9" t="s">
        <v>6198</v>
      </c>
      <c r="B9" s="8">
        <v>1472.9099999999999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4AE4-9768-45F1-8B9D-2A51C15D6EAC}">
  <dimension ref="A3:B7"/>
  <sheetViews>
    <sheetView zoomScale="70" zoomScaleNormal="71" workbookViewId="0">
      <selection activeCell="B5" sqref="B5"/>
    </sheetView>
  </sheetViews>
  <sheetFormatPr defaultRowHeight="14.5" x14ac:dyDescent="0.35"/>
  <cols>
    <col min="1" max="1" width="14.1796875" bestFit="1" customWidth="1"/>
    <col min="2" max="2" width="11.26953125" bestFit="1" customWidth="1"/>
    <col min="3" max="198" width="12.81640625" bestFit="1" customWidth="1"/>
    <col min="199" max="199" width="15.6328125" bestFit="1" customWidth="1"/>
  </cols>
  <sheetData>
    <row r="3" spans="1:2" x14ac:dyDescent="0.35">
      <c r="A3" s="6" t="s">
        <v>7</v>
      </c>
      <c r="B3" s="10" t="s">
        <v>6221</v>
      </c>
    </row>
    <row r="4" spans="1:2" x14ac:dyDescent="0.35">
      <c r="A4" t="s">
        <v>28</v>
      </c>
      <c r="B4" s="8">
        <v>2798.5050000000001</v>
      </c>
    </row>
    <row r="5" spans="1:2" x14ac:dyDescent="0.35">
      <c r="A5" t="s">
        <v>318</v>
      </c>
      <c r="B5" s="8">
        <v>6696.8649999999989</v>
      </c>
    </row>
    <row r="6" spans="1:2" x14ac:dyDescent="0.35">
      <c r="A6" t="s">
        <v>19</v>
      </c>
      <c r="B6" s="8">
        <v>35638.88499999998</v>
      </c>
    </row>
    <row r="7" spans="1:2" x14ac:dyDescent="0.35">
      <c r="A7" t="s">
        <v>6198</v>
      </c>
      <c r="B7" s="8">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9E82-EEFF-41B8-8AD7-16FC9F5F4982}">
  <dimension ref="A3:G48"/>
  <sheetViews>
    <sheetView topLeftCell="E2" zoomScale="53" zoomScaleNormal="124" workbookViewId="0">
      <selection activeCell="F9" sqref="F9"/>
    </sheetView>
  </sheetViews>
  <sheetFormatPr defaultRowHeight="14.5" x14ac:dyDescent="0.35"/>
  <cols>
    <col min="1" max="1" width="13.81640625" bestFit="1" customWidth="1"/>
    <col min="2" max="2" width="23.453125" bestFit="1" customWidth="1"/>
    <col min="3" max="6" width="24.6328125" bestFit="1" customWidth="1"/>
    <col min="7" max="7" width="11.08984375" bestFit="1" customWidth="1"/>
  </cols>
  <sheetData>
    <row r="3" spans="1:7" x14ac:dyDescent="0.35">
      <c r="A3" s="6" t="s">
        <v>6221</v>
      </c>
      <c r="C3" s="9" t="s">
        <v>6196</v>
      </c>
      <c r="D3" s="10"/>
      <c r="E3" s="10"/>
      <c r="F3" s="10"/>
      <c r="G3" s="10"/>
    </row>
    <row r="4" spans="1:7" x14ac:dyDescent="0.35">
      <c r="A4" s="6" t="s">
        <v>6215</v>
      </c>
      <c r="B4" s="6" t="s">
        <v>6216</v>
      </c>
      <c r="C4" t="s">
        <v>6217</v>
      </c>
      <c r="D4" t="s">
        <v>6218</v>
      </c>
      <c r="E4" t="s">
        <v>6219</v>
      </c>
      <c r="F4" t="s">
        <v>6220</v>
      </c>
      <c r="G4" t="s">
        <v>6198</v>
      </c>
    </row>
    <row r="5" spans="1:7" x14ac:dyDescent="0.35">
      <c r="A5" t="s">
        <v>6199</v>
      </c>
      <c r="B5" t="s">
        <v>6203</v>
      </c>
      <c r="C5" s="7">
        <v>77.699999999999989</v>
      </c>
      <c r="D5" s="7">
        <v>53.46</v>
      </c>
      <c r="E5" s="7">
        <v>50.72</v>
      </c>
      <c r="F5" s="7">
        <v>21.509999999999998</v>
      </c>
      <c r="G5" s="7">
        <v>203.39</v>
      </c>
    </row>
    <row r="6" spans="1:7" x14ac:dyDescent="0.35">
      <c r="B6" t="s">
        <v>6204</v>
      </c>
      <c r="C6" s="7">
        <v>67.339999999999989</v>
      </c>
      <c r="D6" s="7"/>
      <c r="E6" s="7"/>
      <c r="F6" s="7">
        <v>71.699999999999989</v>
      </c>
      <c r="G6" s="7">
        <v>139.03999999999996</v>
      </c>
    </row>
    <row r="7" spans="1:7" x14ac:dyDescent="0.35">
      <c r="B7" t="s">
        <v>6205</v>
      </c>
      <c r="C7" s="7">
        <v>59.569999999999993</v>
      </c>
      <c r="D7" s="7"/>
      <c r="E7" s="7">
        <v>85.59</v>
      </c>
      <c r="F7" s="7">
        <v>28.679999999999996</v>
      </c>
      <c r="G7" s="7">
        <v>173.84</v>
      </c>
    </row>
    <row r="8" spans="1:7" x14ac:dyDescent="0.35">
      <c r="B8" t="s">
        <v>6206</v>
      </c>
      <c r="C8" s="7">
        <v>64.75</v>
      </c>
      <c r="D8" s="7">
        <v>181.16999999999996</v>
      </c>
      <c r="E8" s="7">
        <v>210.80499999999998</v>
      </c>
      <c r="F8" s="7">
        <v>21.509999999999998</v>
      </c>
      <c r="G8" s="7">
        <v>478.2349999999999</v>
      </c>
    </row>
    <row r="9" spans="1:7" x14ac:dyDescent="0.35">
      <c r="B9" t="s">
        <v>6207</v>
      </c>
      <c r="C9" s="7">
        <v>29.784999999999997</v>
      </c>
      <c r="D9" s="7"/>
      <c r="E9" s="7"/>
      <c r="F9" s="7"/>
      <c r="G9" s="7">
        <v>29.784999999999997</v>
      </c>
    </row>
    <row r="10" spans="1:7" x14ac:dyDescent="0.35">
      <c r="B10" t="s">
        <v>6208</v>
      </c>
      <c r="C10" s="7"/>
      <c r="D10" s="7">
        <v>341.54999999999995</v>
      </c>
      <c r="E10" s="7"/>
      <c r="F10" s="7">
        <v>17.924999999999997</v>
      </c>
      <c r="G10" s="7">
        <v>359.47499999999997</v>
      </c>
    </row>
    <row r="11" spans="1:7" x14ac:dyDescent="0.35">
      <c r="B11" t="s">
        <v>6209</v>
      </c>
      <c r="C11" s="7">
        <v>89.35499999999999</v>
      </c>
      <c r="D11" s="7">
        <v>204.92999999999995</v>
      </c>
      <c r="E11" s="7">
        <v>171.18</v>
      </c>
      <c r="F11" s="7"/>
      <c r="G11" s="7">
        <v>465.46499999999997</v>
      </c>
    </row>
    <row r="12" spans="1:7" x14ac:dyDescent="0.35">
      <c r="B12" t="s">
        <v>6210</v>
      </c>
      <c r="C12" s="7">
        <v>213.67499999999998</v>
      </c>
      <c r="D12" s="7"/>
      <c r="E12" s="7">
        <v>15.85</v>
      </c>
      <c r="F12" s="7"/>
      <c r="G12" s="7">
        <v>229.52499999999998</v>
      </c>
    </row>
    <row r="13" spans="1:7" x14ac:dyDescent="0.35">
      <c r="B13" t="s">
        <v>6211</v>
      </c>
      <c r="C13" s="7">
        <v>178.70999999999998</v>
      </c>
      <c r="D13" s="7"/>
      <c r="E13" s="7">
        <v>91.929999999999993</v>
      </c>
      <c r="F13" s="7"/>
      <c r="G13" s="7">
        <v>270.64</v>
      </c>
    </row>
    <row r="14" spans="1:7" x14ac:dyDescent="0.35">
      <c r="B14" t="s">
        <v>6212</v>
      </c>
      <c r="C14" s="7">
        <v>103.6</v>
      </c>
      <c r="D14" s="7">
        <v>86.13</v>
      </c>
      <c r="E14" s="7"/>
      <c r="F14" s="7">
        <v>164.91</v>
      </c>
      <c r="G14" s="7">
        <v>354.64</v>
      </c>
    </row>
    <row r="15" spans="1:7" x14ac:dyDescent="0.35">
      <c r="B15" t="s">
        <v>6213</v>
      </c>
      <c r="C15" s="7"/>
      <c r="D15" s="7"/>
      <c r="E15" s="7">
        <v>187.02999999999997</v>
      </c>
      <c r="F15" s="7">
        <v>7.169999999999999</v>
      </c>
      <c r="G15" s="7">
        <v>194.19999999999996</v>
      </c>
    </row>
    <row r="16" spans="1:7" x14ac:dyDescent="0.35">
      <c r="B16" t="s">
        <v>6214</v>
      </c>
      <c r="C16" s="7"/>
      <c r="D16" s="7">
        <v>204.92999999999995</v>
      </c>
      <c r="E16" s="7"/>
      <c r="F16" s="7">
        <v>58.554999999999993</v>
      </c>
      <c r="G16" s="7">
        <v>263.48499999999996</v>
      </c>
    </row>
    <row r="17" spans="1:7" x14ac:dyDescent="0.35">
      <c r="A17" t="s">
        <v>6200</v>
      </c>
      <c r="B17" t="s">
        <v>6203</v>
      </c>
      <c r="C17" s="7"/>
      <c r="D17" s="7"/>
      <c r="E17" s="7">
        <v>42.795000000000002</v>
      </c>
      <c r="F17" s="7">
        <v>146.98500000000001</v>
      </c>
      <c r="G17" s="7">
        <v>189.78000000000003</v>
      </c>
    </row>
    <row r="18" spans="1:7" x14ac:dyDescent="0.35">
      <c r="B18" t="s">
        <v>6204</v>
      </c>
      <c r="C18" s="7">
        <v>134.67999999999998</v>
      </c>
      <c r="D18" s="7">
        <v>81.674999999999997</v>
      </c>
      <c r="E18" s="7"/>
      <c r="F18" s="7">
        <v>371.64499999999992</v>
      </c>
      <c r="G18" s="7">
        <v>587.99999999999989</v>
      </c>
    </row>
    <row r="19" spans="1:7" x14ac:dyDescent="0.35">
      <c r="B19" t="s">
        <v>6205</v>
      </c>
      <c r="C19" s="7">
        <v>23.31</v>
      </c>
      <c r="D19" s="7">
        <v>49.004999999999995</v>
      </c>
      <c r="E19" s="7">
        <v>63.4</v>
      </c>
      <c r="F19" s="7"/>
      <c r="G19" s="7">
        <v>135.715</v>
      </c>
    </row>
    <row r="20" spans="1:7" x14ac:dyDescent="0.35">
      <c r="B20" t="s">
        <v>6206</v>
      </c>
      <c r="C20" s="7"/>
      <c r="D20" s="7">
        <v>53.46</v>
      </c>
      <c r="E20" s="7"/>
      <c r="F20" s="7"/>
      <c r="G20" s="7">
        <v>53.46</v>
      </c>
    </row>
    <row r="21" spans="1:7" x14ac:dyDescent="0.35">
      <c r="B21" t="s">
        <v>6208</v>
      </c>
      <c r="C21" s="7">
        <v>226.62499999999997</v>
      </c>
      <c r="D21" s="7">
        <v>72.765000000000001</v>
      </c>
      <c r="E21" s="7">
        <v>23.774999999999999</v>
      </c>
      <c r="F21" s="7"/>
      <c r="G21" s="7">
        <v>323.16499999999996</v>
      </c>
    </row>
    <row r="22" spans="1:7" x14ac:dyDescent="0.35">
      <c r="B22" t="s">
        <v>6209</v>
      </c>
      <c r="C22" s="7">
        <v>23.31</v>
      </c>
      <c r="D22" s="7"/>
      <c r="E22" s="7">
        <v>131.55500000000001</v>
      </c>
      <c r="F22" s="7">
        <v>143.39999999999998</v>
      </c>
      <c r="G22" s="7">
        <v>298.26499999999999</v>
      </c>
    </row>
    <row r="23" spans="1:7" x14ac:dyDescent="0.35">
      <c r="B23" t="s">
        <v>6210</v>
      </c>
      <c r="C23" s="7"/>
      <c r="D23" s="7">
        <v>35.64</v>
      </c>
      <c r="E23" s="7">
        <v>28.53</v>
      </c>
      <c r="F23" s="7">
        <v>35.849999999999994</v>
      </c>
      <c r="G23" s="7">
        <v>100.02</v>
      </c>
    </row>
    <row r="24" spans="1:7" x14ac:dyDescent="0.35">
      <c r="B24" t="s">
        <v>6211</v>
      </c>
      <c r="C24" s="7"/>
      <c r="D24" s="7">
        <v>53.46</v>
      </c>
      <c r="E24" s="7"/>
      <c r="F24" s="7">
        <v>215.09999999999997</v>
      </c>
      <c r="G24" s="7">
        <v>268.55999999999995</v>
      </c>
    </row>
    <row r="25" spans="1:7" x14ac:dyDescent="0.35">
      <c r="B25" t="s">
        <v>6212</v>
      </c>
      <c r="C25" s="7"/>
      <c r="D25" s="7">
        <v>17.82</v>
      </c>
      <c r="E25" s="7">
        <v>31.7</v>
      </c>
      <c r="F25" s="7">
        <v>43.019999999999996</v>
      </c>
      <c r="G25" s="7">
        <v>92.539999999999992</v>
      </c>
    </row>
    <row r="26" spans="1:7" x14ac:dyDescent="0.35">
      <c r="B26" t="s">
        <v>6213</v>
      </c>
      <c r="C26" s="7">
        <v>38.849999999999994</v>
      </c>
      <c r="D26" s="7"/>
      <c r="E26" s="7"/>
      <c r="F26" s="7"/>
      <c r="G26" s="7">
        <v>38.849999999999994</v>
      </c>
    </row>
    <row r="27" spans="1:7" x14ac:dyDescent="0.35">
      <c r="B27" t="s">
        <v>6214</v>
      </c>
      <c r="C27" s="7"/>
      <c r="D27" s="7">
        <v>169.28999999999996</v>
      </c>
      <c r="E27" s="7">
        <v>47.55</v>
      </c>
      <c r="F27" s="7"/>
      <c r="G27" s="7">
        <v>216.83999999999997</v>
      </c>
    </row>
    <row r="28" spans="1:7" x14ac:dyDescent="0.35">
      <c r="A28" t="s">
        <v>6201</v>
      </c>
      <c r="B28" t="s">
        <v>6203</v>
      </c>
      <c r="C28" s="7">
        <v>23.31</v>
      </c>
      <c r="D28" s="7"/>
      <c r="E28" s="7">
        <v>80.834999999999994</v>
      </c>
      <c r="F28" s="7"/>
      <c r="G28" s="7">
        <v>104.145</v>
      </c>
    </row>
    <row r="29" spans="1:7" x14ac:dyDescent="0.35">
      <c r="B29" t="s">
        <v>6204</v>
      </c>
      <c r="C29" s="7">
        <v>46.62</v>
      </c>
      <c r="D29" s="7"/>
      <c r="E29" s="7">
        <v>101.44</v>
      </c>
      <c r="F29" s="7"/>
      <c r="G29" s="7">
        <v>148.06</v>
      </c>
    </row>
    <row r="30" spans="1:7" x14ac:dyDescent="0.35">
      <c r="B30" t="s">
        <v>6205</v>
      </c>
      <c r="C30" s="7">
        <v>89.35499999999999</v>
      </c>
      <c r="D30" s="7">
        <v>53.46</v>
      </c>
      <c r="E30" s="7">
        <v>109.36499999999999</v>
      </c>
      <c r="F30" s="7">
        <v>71.699999999999989</v>
      </c>
      <c r="G30" s="7">
        <v>323.88</v>
      </c>
    </row>
    <row r="31" spans="1:7" x14ac:dyDescent="0.35">
      <c r="B31" t="s">
        <v>6206</v>
      </c>
      <c r="C31" s="7"/>
      <c r="D31" s="7">
        <v>8.91</v>
      </c>
      <c r="E31" s="7">
        <v>285.29999999999995</v>
      </c>
      <c r="F31" s="7">
        <v>23.9</v>
      </c>
      <c r="G31" s="7">
        <v>318.10999999999996</v>
      </c>
    </row>
    <row r="32" spans="1:7" x14ac:dyDescent="0.35">
      <c r="B32" t="s">
        <v>6207</v>
      </c>
      <c r="C32" s="7"/>
      <c r="D32" s="7">
        <v>53.46</v>
      </c>
      <c r="E32" s="7">
        <v>101.44</v>
      </c>
      <c r="F32" s="7">
        <v>179.24999999999997</v>
      </c>
      <c r="G32" s="7">
        <v>334.15</v>
      </c>
    </row>
    <row r="33" spans="1:7" x14ac:dyDescent="0.35">
      <c r="B33" t="s">
        <v>6208</v>
      </c>
      <c r="C33" s="7">
        <v>77.699999999999989</v>
      </c>
      <c r="D33" s="7"/>
      <c r="E33" s="7"/>
      <c r="F33" s="7">
        <v>17.924999999999997</v>
      </c>
      <c r="G33" s="7">
        <v>95.624999999999986</v>
      </c>
    </row>
    <row r="34" spans="1:7" x14ac:dyDescent="0.35">
      <c r="B34" t="s">
        <v>6209</v>
      </c>
      <c r="C34" s="7">
        <v>31.08</v>
      </c>
      <c r="D34" s="7"/>
      <c r="E34" s="7">
        <v>52.305</v>
      </c>
      <c r="F34" s="7">
        <v>145.78999999999996</v>
      </c>
      <c r="G34" s="7">
        <v>229.17499999999995</v>
      </c>
    </row>
    <row r="35" spans="1:7" x14ac:dyDescent="0.35">
      <c r="B35" t="s">
        <v>6210</v>
      </c>
      <c r="C35" s="7"/>
      <c r="D35" s="7"/>
      <c r="E35" s="7">
        <v>28.53</v>
      </c>
      <c r="F35" s="7">
        <v>21.509999999999998</v>
      </c>
      <c r="G35" s="7">
        <v>50.04</v>
      </c>
    </row>
    <row r="36" spans="1:7" x14ac:dyDescent="0.35">
      <c r="B36" t="s">
        <v>6211</v>
      </c>
      <c r="C36" s="7">
        <v>257.70499999999998</v>
      </c>
      <c r="D36" s="7">
        <v>89.1</v>
      </c>
      <c r="E36" s="7"/>
      <c r="F36" s="7">
        <v>145.78999999999996</v>
      </c>
      <c r="G36" s="7">
        <v>492.59499999999991</v>
      </c>
    </row>
    <row r="37" spans="1:7" x14ac:dyDescent="0.35">
      <c r="B37" t="s">
        <v>6212</v>
      </c>
      <c r="C37" s="7">
        <v>3.8849999999999998</v>
      </c>
      <c r="D37" s="7">
        <v>68.309999999999988</v>
      </c>
      <c r="E37" s="7">
        <v>129.97</v>
      </c>
      <c r="F37" s="7">
        <v>88.429999999999993</v>
      </c>
      <c r="G37" s="7">
        <v>290.59499999999997</v>
      </c>
    </row>
    <row r="38" spans="1:7" x14ac:dyDescent="0.35">
      <c r="B38" t="s">
        <v>6213</v>
      </c>
      <c r="C38" s="7">
        <v>11.654999999999999</v>
      </c>
      <c r="D38" s="7">
        <v>103.94999999999999</v>
      </c>
      <c r="E38" s="7">
        <v>41.21</v>
      </c>
      <c r="F38" s="7"/>
      <c r="G38" s="7">
        <v>156.815</v>
      </c>
    </row>
    <row r="39" spans="1:7" x14ac:dyDescent="0.35">
      <c r="B39" t="s">
        <v>6214</v>
      </c>
      <c r="C39" s="7">
        <v>155.39999999999998</v>
      </c>
      <c r="D39" s="7"/>
      <c r="E39" s="7">
        <v>9.51</v>
      </c>
      <c r="F39" s="7">
        <v>185.22499999999997</v>
      </c>
      <c r="G39" s="7">
        <v>350.13499999999993</v>
      </c>
    </row>
    <row r="40" spans="1:7" x14ac:dyDescent="0.35">
      <c r="A40" t="s">
        <v>6202</v>
      </c>
      <c r="B40" t="s">
        <v>6203</v>
      </c>
      <c r="C40" s="7">
        <v>23.31</v>
      </c>
      <c r="D40" s="7">
        <v>50.49</v>
      </c>
      <c r="E40" s="7">
        <v>240.92</v>
      </c>
      <c r="F40" s="7">
        <v>23.9</v>
      </c>
      <c r="G40" s="7">
        <v>338.61999999999995</v>
      </c>
    </row>
    <row r="41" spans="1:7" x14ac:dyDescent="0.35">
      <c r="B41" t="s">
        <v>6204</v>
      </c>
      <c r="C41" s="7">
        <v>49.209999999999994</v>
      </c>
      <c r="D41" s="7"/>
      <c r="E41" s="7">
        <v>41.21</v>
      </c>
      <c r="F41" s="7">
        <v>35.849999999999994</v>
      </c>
      <c r="G41" s="7">
        <v>126.26999999999998</v>
      </c>
    </row>
    <row r="42" spans="1:7" x14ac:dyDescent="0.35">
      <c r="B42" t="s">
        <v>6205</v>
      </c>
      <c r="C42" s="7"/>
      <c r="D42" s="7">
        <v>147.01499999999999</v>
      </c>
      <c r="E42" s="7"/>
      <c r="F42" s="7">
        <v>114.71999999999998</v>
      </c>
      <c r="G42" s="7">
        <v>261.73499999999996</v>
      </c>
    </row>
    <row r="43" spans="1:7" x14ac:dyDescent="0.35">
      <c r="B43" t="s">
        <v>6206</v>
      </c>
      <c r="C43" s="7">
        <v>7.77</v>
      </c>
      <c r="D43" s="7">
        <v>44.55</v>
      </c>
      <c r="E43" s="7">
        <v>38.04</v>
      </c>
      <c r="F43" s="7">
        <v>21.509999999999998</v>
      </c>
      <c r="G43" s="7">
        <v>111.86999999999998</v>
      </c>
    </row>
    <row r="44" spans="1:7" x14ac:dyDescent="0.35">
      <c r="B44" t="s">
        <v>6207</v>
      </c>
      <c r="C44" s="7"/>
      <c r="D44" s="7"/>
      <c r="E44" s="7">
        <v>79.25</v>
      </c>
      <c r="F44" s="7">
        <v>14.339999999999998</v>
      </c>
      <c r="G44" s="7">
        <v>93.59</v>
      </c>
    </row>
    <row r="45" spans="1:7" x14ac:dyDescent="0.35">
      <c r="B45" t="s">
        <v>6208</v>
      </c>
      <c r="C45" s="7">
        <v>46.62</v>
      </c>
      <c r="D45" s="7">
        <v>218.29499999999996</v>
      </c>
      <c r="E45" s="7">
        <v>145.82</v>
      </c>
      <c r="F45" s="7">
        <v>7.169999999999999</v>
      </c>
      <c r="G45" s="7">
        <v>417.90499999999997</v>
      </c>
    </row>
    <row r="46" spans="1:7" x14ac:dyDescent="0.35">
      <c r="B46" t="s">
        <v>6209</v>
      </c>
      <c r="C46" s="7">
        <v>31.08</v>
      </c>
      <c r="D46" s="7">
        <v>59.4</v>
      </c>
      <c r="E46" s="7">
        <v>79.25</v>
      </c>
      <c r="F46" s="7">
        <v>14.339999999999998</v>
      </c>
      <c r="G46" s="7">
        <v>184.07</v>
      </c>
    </row>
    <row r="47" spans="1:7" x14ac:dyDescent="0.35">
      <c r="B47" t="s">
        <v>6210</v>
      </c>
      <c r="C47" s="7">
        <v>38.849999999999994</v>
      </c>
      <c r="D47" s="7"/>
      <c r="E47" s="7"/>
      <c r="F47" s="7">
        <v>10.754999999999999</v>
      </c>
      <c r="G47" s="7">
        <v>49.60499999999999</v>
      </c>
    </row>
    <row r="48" spans="1:7" x14ac:dyDescent="0.35">
      <c r="A48" t="s">
        <v>6198</v>
      </c>
      <c r="C48" s="7">
        <v>2224.809999999999</v>
      </c>
      <c r="D48" s="7">
        <v>2502.2250000000004</v>
      </c>
      <c r="E48" s="7">
        <v>2746.8050000000003</v>
      </c>
      <c r="F48" s="7">
        <v>2470.0650000000001</v>
      </c>
      <c r="G48" s="7">
        <v>9943.9050000000025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07" zoomScaleNormal="115" workbookViewId="0">
      <selection activeCell="L11" sqref="L11"/>
    </sheetView>
  </sheetViews>
  <sheetFormatPr defaultRowHeight="14.5" x14ac:dyDescent="0.35"/>
  <cols>
    <col min="1" max="1" width="16.54296875" bestFit="1" customWidth="1"/>
    <col min="2" max="2" width="12.26953125" customWidth="1"/>
    <col min="3" max="3" width="17.453125" bestFit="1" customWidth="1"/>
    <col min="4" max="4" width="11.6328125" customWidth="1"/>
    <col min="5" max="5" width="10.26953125" customWidth="1"/>
    <col min="6" max="6" width="23.90625" customWidth="1"/>
    <col min="7" max="7" width="25.81640625" customWidth="1"/>
    <col min="8" max="8" width="20.54296875" customWidth="1"/>
    <col min="9" max="9" width="12.81640625" customWidth="1"/>
    <col min="10" max="10" width="12.08984375" customWidth="1"/>
    <col min="11" max="11" width="8.6328125" style="13" customWidth="1"/>
    <col min="12" max="12" width="12.6328125" customWidth="1"/>
    <col min="13" max="13" width="12.90625" customWidth="1"/>
    <col min="14" max="14" width="22.36328125" customWidth="1"/>
    <col min="15" max="15" width="21.36328125" customWidth="1"/>
    <col min="16" max="16" width="13.90625" customWidth="1"/>
  </cols>
  <sheetData>
    <row r="1" spans="1:16" x14ac:dyDescent="0.35">
      <c r="A1" s="2" t="s">
        <v>0</v>
      </c>
      <c r="B1" s="2" t="s">
        <v>1</v>
      </c>
      <c r="C1" s="2" t="s">
        <v>3</v>
      </c>
      <c r="D1" s="2" t="s">
        <v>11</v>
      </c>
      <c r="E1" s="2" t="s">
        <v>14</v>
      </c>
      <c r="F1" s="2" t="s">
        <v>4</v>
      </c>
      <c r="G1" s="2" t="s">
        <v>2</v>
      </c>
      <c r="H1" s="2" t="s">
        <v>7</v>
      </c>
      <c r="I1" s="2" t="s">
        <v>9</v>
      </c>
      <c r="J1" s="2" t="s">
        <v>10</v>
      </c>
      <c r="K1" s="12" t="s">
        <v>12</v>
      </c>
      <c r="L1" s="4"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_xlfn.XLOOKUP(orders!D2,products!$A$1:$A$49,products!$B$1:$B$49,,0)</f>
        <v>Rob</v>
      </c>
      <c r="J2" t="str">
        <f>_xlfn.XLOOKUP(D2,products!$A$1:$A$49,products!$C$1:$C$49,,0)</f>
        <v>M</v>
      </c>
      <c r="K2" s="13">
        <f>_xlfn.XLOOKUP(D2,products!$A$1:$A$49,products!$D$1:$D$49,,0)</f>
        <v>1</v>
      </c>
      <c r="L2" s="5">
        <f>_xlfn.XLOOKUP(D2,products!$A$1:$A$49,products!$E$1:$E$49,,0)</f>
        <v>9.9499999999999993</v>
      </c>
      <c r="M2">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_xlfn.XLOOKUP(orders!D3,products!$A$1:$A$49,products!$B$1:$B$49,,0)</f>
        <v>Exc</v>
      </c>
      <c r="J3" t="str">
        <f>_xlfn.XLOOKUP(D3,products!$A$1:$A$49,products!$C$1:$C$49,,0)</f>
        <v>M</v>
      </c>
      <c r="K3" s="13">
        <f>_xlfn.XLOOKUP(D3,products!$A$1:$A$49,products!$D$1:$D$49,,0)</f>
        <v>0.5</v>
      </c>
      <c r="L3" s="5">
        <f>_xlfn.XLOOKUP(D3,products!$A$1:$A$49,products!$E$1:$E$49,,0)</f>
        <v>8.25</v>
      </c>
      <c r="M3">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_xlfn.XLOOKUP(orders!D4,products!$A$1:$A$49,products!$B$1:$B$49,,0)</f>
        <v>Ara</v>
      </c>
      <c r="J4" t="str">
        <f>_xlfn.XLOOKUP(D4,products!$A$1:$A$49,products!$C$1:$C$49,,0)</f>
        <v>L</v>
      </c>
      <c r="K4" s="13">
        <f>_xlfn.XLOOKUP(D4,products!$A$1:$A$49,products!$D$1:$D$49,,0)</f>
        <v>1</v>
      </c>
      <c r="L4" s="5">
        <f>_xlfn.XLOOKUP(D4,products!$A$1:$A$49,products!$E$1:$E$49,,0)</f>
        <v>12.95</v>
      </c>
      <c r="M4">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_xlfn.XLOOKUP(orders!D5,products!$A$1:$A$49,products!$B$1:$B$49,,0)</f>
        <v>Exc</v>
      </c>
      <c r="J5" t="str">
        <f>_xlfn.XLOOKUP(D5,products!$A$1:$A$49,products!$C$1:$C$49,,0)</f>
        <v>M</v>
      </c>
      <c r="K5" s="13">
        <f>_xlfn.XLOOKUP(D5,products!$A$1:$A$49,products!$D$1:$D$49,,0)</f>
        <v>1</v>
      </c>
      <c r="L5" s="5">
        <f>_xlfn.XLOOKUP(D5,products!$A$1:$A$49,products!$E$1:$E$49,,0)</f>
        <v>13.75</v>
      </c>
      <c r="M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_xlfn.XLOOKUP(orders!D6,products!$A$1:$A$49,products!$B$1:$B$49,,0)</f>
        <v>Rob</v>
      </c>
      <c r="J6" t="str">
        <f>_xlfn.XLOOKUP(D6,products!$A$1:$A$49,products!$C$1:$C$49,,0)</f>
        <v>L</v>
      </c>
      <c r="K6" s="13">
        <f>_xlfn.XLOOKUP(D6,products!$A$1:$A$49,products!$D$1:$D$49,,0)</f>
        <v>2.5</v>
      </c>
      <c r="L6" s="5">
        <f>_xlfn.XLOOKUP(D6,products!$A$1:$A$49,products!$E$1:$E$49,,0)</f>
        <v>27.484999999999996</v>
      </c>
      <c r="M6">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_xlfn.XLOOKUP(orders!D7,products!$A$1:$A$49,products!$B$1:$B$49,,0)</f>
        <v>Lib</v>
      </c>
      <c r="J7" t="str">
        <f>_xlfn.XLOOKUP(D7,products!$A$1:$A$49,products!$C$1:$C$49,,0)</f>
        <v>D</v>
      </c>
      <c r="K7" s="13">
        <f>_xlfn.XLOOKUP(D7,products!$A$1:$A$49,products!$D$1:$D$49,,0)</f>
        <v>1</v>
      </c>
      <c r="L7" s="5">
        <f>_xlfn.XLOOKUP(D7,products!$A$1:$A$49,products!$E$1:$E$49,,0)</f>
        <v>12.95</v>
      </c>
      <c r="M7">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_xlfn.XLOOKUP(orders!D8,products!$A$1:$A$49,products!$B$1:$B$49,,0)</f>
        <v>Exc</v>
      </c>
      <c r="J8" t="str">
        <f>_xlfn.XLOOKUP(D8,products!$A$1:$A$49,products!$C$1:$C$49,,0)</f>
        <v>D</v>
      </c>
      <c r="K8" s="13">
        <f>_xlfn.XLOOKUP(D8,products!$A$1:$A$49,products!$D$1:$D$49,,0)</f>
        <v>0.5</v>
      </c>
      <c r="L8" s="5">
        <f>_xlfn.XLOOKUP(D8,products!$A$1:$A$49,products!$E$1:$E$49,,0)</f>
        <v>7.29</v>
      </c>
      <c r="M8">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_xlfn.XLOOKUP(orders!D9,products!$A$1:$A$49,products!$B$1:$B$49,,0)</f>
        <v>Lib</v>
      </c>
      <c r="J9" t="str">
        <f>_xlfn.XLOOKUP(D9,products!$A$1:$A$49,products!$C$1:$C$49,,0)</f>
        <v>L</v>
      </c>
      <c r="K9" s="13">
        <f>_xlfn.XLOOKUP(D9,products!$A$1:$A$49,products!$D$1:$D$49,,0)</f>
        <v>0.2</v>
      </c>
      <c r="L9" s="5">
        <f>_xlfn.XLOOKUP(D9,products!$A$1:$A$49,products!$E$1:$E$49,,0)</f>
        <v>4.7549999999999999</v>
      </c>
      <c r="M9">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_xlfn.XLOOKUP(orders!D10,products!$A$1:$A$49,products!$B$1:$B$49,,0)</f>
        <v>Rob</v>
      </c>
      <c r="J10" t="str">
        <f>_xlfn.XLOOKUP(D10,products!$A$1:$A$49,products!$C$1:$C$49,,0)</f>
        <v>M</v>
      </c>
      <c r="K10" s="13">
        <f>_xlfn.XLOOKUP(D10,products!$A$1:$A$49,products!$D$1:$D$49,,0)</f>
        <v>0.5</v>
      </c>
      <c r="L10" s="5">
        <f>_xlfn.XLOOKUP(D10,products!$A$1:$A$49,products!$E$1:$E$49,,0)</f>
        <v>5.97</v>
      </c>
      <c r="M10">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_xlfn.XLOOKUP(orders!D11,products!$A$1:$A$49,products!$B$1:$B$49,,0)</f>
        <v>Rob</v>
      </c>
      <c r="J11" t="str">
        <f>_xlfn.XLOOKUP(D11,products!$A$1:$A$49,products!$C$1:$C$49,,0)</f>
        <v>M</v>
      </c>
      <c r="K11" s="13">
        <f>_xlfn.XLOOKUP(D11,products!$A$1:$A$49,products!$D$1:$D$49,,0)</f>
        <v>0.5</v>
      </c>
      <c r="L11" s="5">
        <f>_xlfn.XLOOKUP(D11,products!$A$1:$A$49,products!$E$1:$E$49,,0)</f>
        <v>5.97</v>
      </c>
      <c r="M11">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_xlfn.XLOOKUP(orders!D12,products!$A$1:$A$49,products!$B$1:$B$49,,0)</f>
        <v>Ara</v>
      </c>
      <c r="J12" t="str">
        <f>_xlfn.XLOOKUP(D12,products!$A$1:$A$49,products!$C$1:$C$49,,0)</f>
        <v>D</v>
      </c>
      <c r="K12" s="13">
        <f>_xlfn.XLOOKUP(D12,products!$A$1:$A$49,products!$D$1:$D$49,,0)</f>
        <v>1</v>
      </c>
      <c r="L12" s="5">
        <f>_xlfn.XLOOKUP(D12,products!$A$1:$A$49,products!$E$1:$E$49,,0)</f>
        <v>9.9499999999999993</v>
      </c>
      <c r="M12">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_xlfn.XLOOKUP(orders!D13,products!$A$1:$A$49,products!$B$1:$B$49,,0)</f>
        <v>Exc</v>
      </c>
      <c r="J13" t="str">
        <f>_xlfn.XLOOKUP(D13,products!$A$1:$A$49,products!$C$1:$C$49,,0)</f>
        <v>L</v>
      </c>
      <c r="K13" s="13">
        <f>_xlfn.XLOOKUP(D13,products!$A$1:$A$49,products!$D$1:$D$49,,0)</f>
        <v>2.5</v>
      </c>
      <c r="L13" s="5">
        <f>_xlfn.XLOOKUP(D13,products!$A$1:$A$49,products!$E$1:$E$49,,0)</f>
        <v>34.154999999999994</v>
      </c>
      <c r="M13">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_xlfn.XLOOKUP(orders!D14,products!$A$1:$A$49,products!$B$1:$B$49,,0)</f>
        <v>Rob</v>
      </c>
      <c r="J14" t="str">
        <f>_xlfn.XLOOKUP(D14,products!$A$1:$A$49,products!$C$1:$C$49,,0)</f>
        <v>M</v>
      </c>
      <c r="K14" s="13">
        <f>_xlfn.XLOOKUP(D14,products!$A$1:$A$49,products!$D$1:$D$49,,0)</f>
        <v>1</v>
      </c>
      <c r="L14" s="5">
        <f>_xlfn.XLOOKUP(D14,products!$A$1:$A$49,products!$E$1:$E$49,,0)</f>
        <v>9.9499999999999993</v>
      </c>
      <c r="M14">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_xlfn.XLOOKUP(orders!D15,products!$A$1:$A$49,products!$B$1:$B$49,,0)</f>
        <v>Rob</v>
      </c>
      <c r="J15" t="str">
        <f>_xlfn.XLOOKUP(D15,products!$A$1:$A$49,products!$C$1:$C$49,,0)</f>
        <v>D</v>
      </c>
      <c r="K15" s="13">
        <f>_xlfn.XLOOKUP(D15,products!$A$1:$A$49,products!$D$1:$D$49,,0)</f>
        <v>2.5</v>
      </c>
      <c r="L15" s="5">
        <f>_xlfn.XLOOKUP(D15,products!$A$1:$A$49,products!$E$1:$E$49,,0)</f>
        <v>20.584999999999997</v>
      </c>
      <c r="M1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_xlfn.XLOOKUP(orders!D16,products!$A$1:$A$49,products!$B$1:$B$49,,0)</f>
        <v>Lib</v>
      </c>
      <c r="J16" t="str">
        <f>_xlfn.XLOOKUP(D16,products!$A$1:$A$49,products!$C$1:$C$49,,0)</f>
        <v>D</v>
      </c>
      <c r="K16" s="13">
        <f>_xlfn.XLOOKUP(D16,products!$A$1:$A$49,products!$D$1:$D$49,,0)</f>
        <v>0.2</v>
      </c>
      <c r="L16" s="5">
        <f>_xlfn.XLOOKUP(D16,products!$A$1:$A$49,products!$E$1:$E$49,,0)</f>
        <v>3.8849999999999998</v>
      </c>
      <c r="M16">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_xlfn.XLOOKUP(orders!D17,products!$A$1:$A$49,products!$B$1:$B$49,,0)</f>
        <v>Rob</v>
      </c>
      <c r="J17" t="str">
        <f>_xlfn.XLOOKUP(D17,products!$A$1:$A$49,products!$C$1:$C$49,,0)</f>
        <v>M</v>
      </c>
      <c r="K17" s="13">
        <f>_xlfn.XLOOKUP(D17,products!$A$1:$A$49,products!$D$1:$D$49,,0)</f>
        <v>2.5</v>
      </c>
      <c r="L17" s="5">
        <f>_xlfn.XLOOKUP(D17,products!$A$1:$A$49,products!$E$1:$E$49,,0)</f>
        <v>22.884999999999998</v>
      </c>
      <c r="M17">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_xlfn.XLOOKUP(orders!D18,products!$A$1:$A$49,products!$B$1:$B$49,,0)</f>
        <v>Ara</v>
      </c>
      <c r="J18" t="str">
        <f>_xlfn.XLOOKUP(D18,products!$A$1:$A$49,products!$C$1:$C$49,,0)</f>
        <v>M</v>
      </c>
      <c r="K18" s="13">
        <f>_xlfn.XLOOKUP(D18,products!$A$1:$A$49,products!$D$1:$D$49,,0)</f>
        <v>0.2</v>
      </c>
      <c r="L18" s="5">
        <f>_xlfn.XLOOKUP(D18,products!$A$1:$A$49,products!$E$1:$E$49,,0)</f>
        <v>3.375</v>
      </c>
      <c r="M18">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_xlfn.XLOOKUP(orders!D19,products!$A$1:$A$49,products!$B$1:$B$49,,0)</f>
        <v>Ara</v>
      </c>
      <c r="J19" t="str">
        <f>_xlfn.XLOOKUP(D19,products!$A$1:$A$49,products!$C$1:$C$49,,0)</f>
        <v>L</v>
      </c>
      <c r="K19" s="13">
        <f>_xlfn.XLOOKUP(D19,products!$A$1:$A$49,products!$D$1:$D$49,,0)</f>
        <v>1</v>
      </c>
      <c r="L19" s="5">
        <f>_xlfn.XLOOKUP(D19,products!$A$1:$A$49,products!$E$1:$E$49,,0)</f>
        <v>12.95</v>
      </c>
      <c r="M19">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_xlfn.XLOOKUP(orders!D20,products!$A$1:$A$49,products!$B$1:$B$49,,0)</f>
        <v>Rob</v>
      </c>
      <c r="J20" t="str">
        <f>_xlfn.XLOOKUP(D20,products!$A$1:$A$49,products!$C$1:$C$49,,0)</f>
        <v>D</v>
      </c>
      <c r="K20" s="13">
        <f>_xlfn.XLOOKUP(D20,products!$A$1:$A$49,products!$D$1:$D$49,,0)</f>
        <v>2.5</v>
      </c>
      <c r="L20" s="5">
        <f>_xlfn.XLOOKUP(D20,products!$A$1:$A$49,products!$E$1:$E$49,,0)</f>
        <v>20.584999999999997</v>
      </c>
      <c r="M20">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_xlfn.XLOOKUP(orders!D21,products!$A$1:$A$49,products!$B$1:$B$49,,0)</f>
        <v>Ara</v>
      </c>
      <c r="J21" t="str">
        <f>_xlfn.XLOOKUP(D21,products!$A$1:$A$49,products!$C$1:$C$49,,0)</f>
        <v>M</v>
      </c>
      <c r="K21" s="13">
        <f>_xlfn.XLOOKUP(D21,products!$A$1:$A$49,products!$D$1:$D$49,,0)</f>
        <v>0.2</v>
      </c>
      <c r="L21" s="5">
        <f>_xlfn.XLOOKUP(D21,products!$A$1:$A$49,products!$E$1:$E$49,,0)</f>
        <v>3.375</v>
      </c>
      <c r="M21">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_xlfn.XLOOKUP(orders!D22,products!$A$1:$A$49,products!$B$1:$B$49,,0)</f>
        <v>Exc</v>
      </c>
      <c r="J22" t="str">
        <f>_xlfn.XLOOKUP(D22,products!$A$1:$A$49,products!$C$1:$C$49,,0)</f>
        <v>D</v>
      </c>
      <c r="K22" s="13">
        <f>_xlfn.XLOOKUP(D22,products!$A$1:$A$49,products!$D$1:$D$49,,0)</f>
        <v>0.2</v>
      </c>
      <c r="L22" s="5">
        <f>_xlfn.XLOOKUP(D22,products!$A$1:$A$49,products!$E$1:$E$49,,0)</f>
        <v>3.645</v>
      </c>
      <c r="M22">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_xlfn.XLOOKUP(orders!D23,products!$A$1:$A$49,products!$B$1:$B$49,,0)</f>
        <v>Ara</v>
      </c>
      <c r="J23" t="str">
        <f>_xlfn.XLOOKUP(D23,products!$A$1:$A$49,products!$C$1:$C$49,,0)</f>
        <v>D</v>
      </c>
      <c r="K23" s="13">
        <f>_xlfn.XLOOKUP(D23,products!$A$1:$A$49,products!$D$1:$D$49,,0)</f>
        <v>0.2</v>
      </c>
      <c r="L23" s="5">
        <f>_xlfn.XLOOKUP(D23,products!$A$1:$A$49,products!$E$1:$E$49,,0)</f>
        <v>2.9849999999999999</v>
      </c>
      <c r="M23">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_xlfn.XLOOKUP(orders!D24,products!$A$1:$A$49,products!$B$1:$B$49,,0)</f>
        <v>Rob</v>
      </c>
      <c r="J24" t="str">
        <f>_xlfn.XLOOKUP(D24,products!$A$1:$A$49,products!$C$1:$C$49,,0)</f>
        <v>M</v>
      </c>
      <c r="K24" s="13">
        <f>_xlfn.XLOOKUP(D24,products!$A$1:$A$49,products!$D$1:$D$49,,0)</f>
        <v>2.5</v>
      </c>
      <c r="L24" s="5">
        <f>_xlfn.XLOOKUP(D24,products!$A$1:$A$49,products!$E$1:$E$49,,0)</f>
        <v>22.884999999999998</v>
      </c>
      <c r="M24">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_xlfn.XLOOKUP(orders!D25,products!$A$1:$A$49,products!$B$1:$B$49,,0)</f>
        <v>Ara</v>
      </c>
      <c r="J25" t="str">
        <f>_xlfn.XLOOKUP(D25,products!$A$1:$A$49,products!$C$1:$C$49,,0)</f>
        <v>D</v>
      </c>
      <c r="K25" s="13">
        <f>_xlfn.XLOOKUP(D25,products!$A$1:$A$49,products!$D$1:$D$49,,0)</f>
        <v>0.2</v>
      </c>
      <c r="L25" s="5">
        <f>_xlfn.XLOOKUP(D25,products!$A$1:$A$49,products!$E$1:$E$49,,0)</f>
        <v>2.9849999999999999</v>
      </c>
      <c r="M2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_xlfn.XLOOKUP(orders!D26,products!$A$1:$A$49,products!$B$1:$B$49,,0)</f>
        <v>Ara</v>
      </c>
      <c r="J26" t="str">
        <f>_xlfn.XLOOKUP(D26,products!$A$1:$A$49,products!$C$1:$C$49,,0)</f>
        <v>M</v>
      </c>
      <c r="K26" s="13">
        <f>_xlfn.XLOOKUP(D26,products!$A$1:$A$49,products!$D$1:$D$49,,0)</f>
        <v>1</v>
      </c>
      <c r="L26" s="5">
        <f>_xlfn.XLOOKUP(D26,products!$A$1:$A$49,products!$E$1:$E$49,,0)</f>
        <v>11.25</v>
      </c>
      <c r="M26">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_xlfn.XLOOKUP(orders!D27,products!$A$1:$A$49,products!$B$1:$B$49,,0)</f>
        <v>Exc</v>
      </c>
      <c r="J27" t="str">
        <f>_xlfn.XLOOKUP(D27,products!$A$1:$A$49,products!$C$1:$C$49,,0)</f>
        <v>M</v>
      </c>
      <c r="K27" s="13">
        <f>_xlfn.XLOOKUP(D27,products!$A$1:$A$49,products!$D$1:$D$49,,0)</f>
        <v>0.2</v>
      </c>
      <c r="L27" s="5">
        <f>_xlfn.XLOOKUP(D27,products!$A$1:$A$49,products!$E$1:$E$49,,0)</f>
        <v>4.125</v>
      </c>
      <c r="M27">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_xlfn.XLOOKUP(orders!D28,products!$A$1:$A$49,products!$B$1:$B$49,,0)</f>
        <v>Ara</v>
      </c>
      <c r="J28" t="str">
        <f>_xlfn.XLOOKUP(D28,products!$A$1:$A$49,products!$C$1:$C$49,,0)</f>
        <v>M</v>
      </c>
      <c r="K28" s="13">
        <f>_xlfn.XLOOKUP(D28,products!$A$1:$A$49,products!$D$1:$D$49,,0)</f>
        <v>0.5</v>
      </c>
      <c r="L28" s="5">
        <f>_xlfn.XLOOKUP(D28,products!$A$1:$A$49,products!$E$1:$E$49,,0)</f>
        <v>6.75</v>
      </c>
      <c r="M28">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_xlfn.XLOOKUP(orders!D29,products!$A$1:$A$49,products!$B$1:$B$49,,0)</f>
        <v>Ara</v>
      </c>
      <c r="J29" t="str">
        <f>_xlfn.XLOOKUP(D29,products!$A$1:$A$49,products!$C$1:$C$49,,0)</f>
        <v>M</v>
      </c>
      <c r="K29" s="13">
        <f>_xlfn.XLOOKUP(D29,products!$A$1:$A$49,products!$D$1:$D$49,,0)</f>
        <v>0.2</v>
      </c>
      <c r="L29" s="5">
        <f>_xlfn.XLOOKUP(D29,products!$A$1:$A$49,products!$E$1:$E$49,,0)</f>
        <v>3.375</v>
      </c>
      <c r="M29">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_xlfn.XLOOKUP(orders!D30,products!$A$1:$A$49,products!$B$1:$B$49,,0)</f>
        <v>Ara</v>
      </c>
      <c r="J30" t="str">
        <f>_xlfn.XLOOKUP(D30,products!$A$1:$A$49,products!$C$1:$C$49,,0)</f>
        <v>D</v>
      </c>
      <c r="K30" s="13">
        <f>_xlfn.XLOOKUP(D30,products!$A$1:$A$49,products!$D$1:$D$49,,0)</f>
        <v>0.5</v>
      </c>
      <c r="L30" s="5">
        <f>_xlfn.XLOOKUP(D30,products!$A$1:$A$49,products!$E$1:$E$49,,0)</f>
        <v>5.97</v>
      </c>
      <c r="M30">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_xlfn.XLOOKUP(orders!D31,products!$A$1:$A$49,products!$B$1:$B$49,,0)</f>
        <v>Ara</v>
      </c>
      <c r="J31" t="str">
        <f>_xlfn.XLOOKUP(D31,products!$A$1:$A$49,products!$C$1:$C$49,,0)</f>
        <v>D</v>
      </c>
      <c r="K31" s="13">
        <f>_xlfn.XLOOKUP(D31,products!$A$1:$A$49,products!$D$1:$D$49,,0)</f>
        <v>1</v>
      </c>
      <c r="L31" s="5">
        <f>_xlfn.XLOOKUP(D31,products!$A$1:$A$49,products!$E$1:$E$49,,0)</f>
        <v>9.9499999999999993</v>
      </c>
      <c r="M31">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_xlfn.XLOOKUP(orders!D32,products!$A$1:$A$49,products!$B$1:$B$49,,0)</f>
        <v>Lib</v>
      </c>
      <c r="J32" t="str">
        <f>_xlfn.XLOOKUP(D32,products!$A$1:$A$49,products!$C$1:$C$49,,0)</f>
        <v>M</v>
      </c>
      <c r="K32" s="13">
        <f>_xlfn.XLOOKUP(D32,products!$A$1:$A$49,products!$D$1:$D$49,,0)</f>
        <v>0.2</v>
      </c>
      <c r="L32" s="5">
        <f>_xlfn.XLOOKUP(D32,products!$A$1:$A$49,products!$E$1:$E$49,,0)</f>
        <v>4.3650000000000002</v>
      </c>
      <c r="M32">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_xlfn.XLOOKUP(orders!D33,products!$A$1:$A$49,products!$B$1:$B$49,,0)</f>
        <v>Ara</v>
      </c>
      <c r="J33" t="str">
        <f>_xlfn.XLOOKUP(D33,products!$A$1:$A$49,products!$C$1:$C$49,,0)</f>
        <v>D</v>
      </c>
      <c r="K33" s="13">
        <f>_xlfn.XLOOKUP(D33,products!$A$1:$A$49,products!$D$1:$D$49,,0)</f>
        <v>0.5</v>
      </c>
      <c r="L33" s="5">
        <f>_xlfn.XLOOKUP(D33,products!$A$1:$A$49,products!$E$1:$E$49,,0)</f>
        <v>5.97</v>
      </c>
      <c r="M33">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_xlfn.XLOOKUP(orders!D34,products!$A$1:$A$49,products!$B$1:$B$49,,0)</f>
        <v>Lib</v>
      </c>
      <c r="J34" t="str">
        <f>_xlfn.XLOOKUP(D34,products!$A$1:$A$49,products!$C$1:$C$49,,0)</f>
        <v>M</v>
      </c>
      <c r="K34" s="13">
        <f>_xlfn.XLOOKUP(D34,products!$A$1:$A$49,products!$D$1:$D$49,,0)</f>
        <v>0.5</v>
      </c>
      <c r="L34" s="5">
        <f>_xlfn.XLOOKUP(D34,products!$A$1:$A$49,products!$E$1:$E$49,,0)</f>
        <v>8.73</v>
      </c>
      <c r="M34">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_xlfn.XLOOKUP(orders!D35,products!$A$1:$A$49,products!$B$1:$B$49,,0)</f>
        <v>Lib</v>
      </c>
      <c r="J35" t="str">
        <f>_xlfn.XLOOKUP(D35,products!$A$1:$A$49,products!$C$1:$C$49,,0)</f>
        <v>L</v>
      </c>
      <c r="K35" s="13">
        <f>_xlfn.XLOOKUP(D35,products!$A$1:$A$49,products!$D$1:$D$49,,0)</f>
        <v>0.2</v>
      </c>
      <c r="L35" s="5">
        <f>_xlfn.XLOOKUP(D35,products!$A$1:$A$49,products!$E$1:$E$49,,0)</f>
        <v>4.7549999999999999</v>
      </c>
      <c r="M3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_xlfn.XLOOKUP(orders!D36,products!$A$1:$A$49,products!$B$1:$B$49,,0)</f>
        <v>Lib</v>
      </c>
      <c r="J36" t="str">
        <f>_xlfn.XLOOKUP(D36,products!$A$1:$A$49,products!$C$1:$C$49,,0)</f>
        <v>L</v>
      </c>
      <c r="K36" s="13">
        <f>_xlfn.XLOOKUP(D36,products!$A$1:$A$49,products!$D$1:$D$49,,0)</f>
        <v>0.5</v>
      </c>
      <c r="L36" s="5">
        <f>_xlfn.XLOOKUP(D36,products!$A$1:$A$49,products!$E$1:$E$49,,0)</f>
        <v>9.51</v>
      </c>
      <c r="M36">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_xlfn.XLOOKUP(orders!D37,products!$A$1:$A$49,products!$B$1:$B$49,,0)</f>
        <v>Ara</v>
      </c>
      <c r="J37" t="str">
        <f>_xlfn.XLOOKUP(D37,products!$A$1:$A$49,products!$C$1:$C$49,,0)</f>
        <v>D</v>
      </c>
      <c r="K37" s="13">
        <f>_xlfn.XLOOKUP(D37,products!$A$1:$A$49,products!$D$1:$D$49,,0)</f>
        <v>0.5</v>
      </c>
      <c r="L37" s="5">
        <f>_xlfn.XLOOKUP(D37,products!$A$1:$A$49,products!$E$1:$E$49,,0)</f>
        <v>5.97</v>
      </c>
      <c r="M37">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_xlfn.XLOOKUP(orders!D38,products!$A$1:$A$49,products!$B$1:$B$49,,0)</f>
        <v>Lib</v>
      </c>
      <c r="J38" t="str">
        <f>_xlfn.XLOOKUP(D38,products!$A$1:$A$49,products!$C$1:$C$49,,0)</f>
        <v>M</v>
      </c>
      <c r="K38" s="13">
        <f>_xlfn.XLOOKUP(D38,products!$A$1:$A$49,products!$D$1:$D$49,,0)</f>
        <v>0.2</v>
      </c>
      <c r="L38" s="5">
        <f>_xlfn.XLOOKUP(D38,products!$A$1:$A$49,products!$E$1:$E$49,,0)</f>
        <v>4.3650000000000002</v>
      </c>
      <c r="M38">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_xlfn.XLOOKUP(orders!D39,products!$A$1:$A$49,products!$B$1:$B$49,,0)</f>
        <v>Lib</v>
      </c>
      <c r="J39" t="str">
        <f>_xlfn.XLOOKUP(D39,products!$A$1:$A$49,products!$C$1:$C$49,,0)</f>
        <v>L</v>
      </c>
      <c r="K39" s="13">
        <f>_xlfn.XLOOKUP(D39,products!$A$1:$A$49,products!$D$1:$D$49,,0)</f>
        <v>0.5</v>
      </c>
      <c r="L39" s="5">
        <f>_xlfn.XLOOKUP(D39,products!$A$1:$A$49,products!$E$1:$E$49,,0)</f>
        <v>9.51</v>
      </c>
      <c r="M39">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_xlfn.XLOOKUP(orders!D40,products!$A$1:$A$49,products!$B$1:$B$49,,0)</f>
        <v>Rob</v>
      </c>
      <c r="J40" t="str">
        <f>_xlfn.XLOOKUP(D40,products!$A$1:$A$49,products!$C$1:$C$49,,0)</f>
        <v>M</v>
      </c>
      <c r="K40" s="13">
        <f>_xlfn.XLOOKUP(D40,products!$A$1:$A$49,products!$D$1:$D$49,,0)</f>
        <v>2.5</v>
      </c>
      <c r="L40" s="5">
        <f>_xlfn.XLOOKUP(D40,products!$A$1:$A$49,products!$E$1:$E$49,,0)</f>
        <v>22.884999999999998</v>
      </c>
      <c r="M40">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_xlfn.XLOOKUP(orders!D41,products!$A$1:$A$49,products!$B$1:$B$49,,0)</f>
        <v>Rob</v>
      </c>
      <c r="J41" t="str">
        <f>_xlfn.XLOOKUP(D41,products!$A$1:$A$49,products!$C$1:$C$49,,0)</f>
        <v>M</v>
      </c>
      <c r="K41" s="13">
        <f>_xlfn.XLOOKUP(D41,products!$A$1:$A$49,products!$D$1:$D$49,,0)</f>
        <v>1</v>
      </c>
      <c r="L41" s="5">
        <f>_xlfn.XLOOKUP(D41,products!$A$1:$A$49,products!$E$1:$E$49,,0)</f>
        <v>9.9499999999999993</v>
      </c>
      <c r="M41">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_xlfn.XLOOKUP(orders!D42,products!$A$1:$A$49,products!$B$1:$B$49,,0)</f>
        <v>Lib</v>
      </c>
      <c r="J42" t="str">
        <f>_xlfn.XLOOKUP(D42,products!$A$1:$A$49,products!$C$1:$C$49,,0)</f>
        <v>M</v>
      </c>
      <c r="K42" s="13">
        <f>_xlfn.XLOOKUP(D42,products!$A$1:$A$49,products!$D$1:$D$49,,0)</f>
        <v>1</v>
      </c>
      <c r="L42" s="5">
        <f>_xlfn.XLOOKUP(D42,products!$A$1:$A$49,products!$E$1:$E$49,,0)</f>
        <v>14.55</v>
      </c>
      <c r="M42">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_xlfn.XLOOKUP(orders!D43,products!$A$1:$A$49,products!$B$1:$B$49,,0)</f>
        <v>Exc</v>
      </c>
      <c r="J43" t="str">
        <f>_xlfn.XLOOKUP(D43,products!$A$1:$A$49,products!$C$1:$C$49,,0)</f>
        <v>D</v>
      </c>
      <c r="K43" s="13">
        <f>_xlfn.XLOOKUP(D43,products!$A$1:$A$49,products!$D$1:$D$49,,0)</f>
        <v>0.2</v>
      </c>
      <c r="L43" s="5">
        <f>_xlfn.XLOOKUP(D43,products!$A$1:$A$49,products!$E$1:$E$49,,0)</f>
        <v>3.645</v>
      </c>
      <c r="M43">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_xlfn.XLOOKUP(orders!D44,products!$A$1:$A$49,products!$B$1:$B$49,,0)</f>
        <v>Rob</v>
      </c>
      <c r="J44" t="str">
        <f>_xlfn.XLOOKUP(D44,products!$A$1:$A$49,products!$C$1:$C$49,,0)</f>
        <v>D</v>
      </c>
      <c r="K44" s="13">
        <f>_xlfn.XLOOKUP(D44,products!$A$1:$A$49,products!$D$1:$D$49,,0)</f>
        <v>0.2</v>
      </c>
      <c r="L44" s="5">
        <f>_xlfn.XLOOKUP(D44,products!$A$1:$A$49,products!$E$1:$E$49,,0)</f>
        <v>2.6849999999999996</v>
      </c>
      <c r="M44">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_xlfn.XLOOKUP(orders!D45,products!$A$1:$A$49,products!$B$1:$B$49,,0)</f>
        <v>Lib</v>
      </c>
      <c r="J45" t="str">
        <f>_xlfn.XLOOKUP(D45,products!$A$1:$A$49,products!$C$1:$C$49,,0)</f>
        <v>L</v>
      </c>
      <c r="K45" s="13">
        <f>_xlfn.XLOOKUP(D45,products!$A$1:$A$49,products!$D$1:$D$49,,0)</f>
        <v>2.5</v>
      </c>
      <c r="L45" s="5">
        <f>_xlfn.XLOOKUP(D45,products!$A$1:$A$49,products!$E$1:$E$49,,0)</f>
        <v>36.454999999999998</v>
      </c>
      <c r="M4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_xlfn.XLOOKUP(orders!D46,products!$A$1:$A$49,products!$B$1:$B$49,,0)</f>
        <v>Exc</v>
      </c>
      <c r="J46" t="str">
        <f>_xlfn.XLOOKUP(D46,products!$A$1:$A$49,products!$C$1:$C$49,,0)</f>
        <v>M</v>
      </c>
      <c r="K46" s="13">
        <f>_xlfn.XLOOKUP(D46,products!$A$1:$A$49,products!$D$1:$D$49,,0)</f>
        <v>0.5</v>
      </c>
      <c r="L46" s="5">
        <f>_xlfn.XLOOKUP(D46,products!$A$1:$A$49,products!$E$1:$E$49,,0)</f>
        <v>8.25</v>
      </c>
      <c r="M46">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_xlfn.XLOOKUP(orders!D47,products!$A$1:$A$49,products!$B$1:$B$49,,0)</f>
        <v>Lib</v>
      </c>
      <c r="J47" t="str">
        <f>_xlfn.XLOOKUP(D47,products!$A$1:$A$49,products!$C$1:$C$49,,0)</f>
        <v>D</v>
      </c>
      <c r="K47" s="13">
        <f>_xlfn.XLOOKUP(D47,products!$A$1:$A$49,products!$D$1:$D$49,,0)</f>
        <v>2.5</v>
      </c>
      <c r="L47" s="5">
        <f>_xlfn.XLOOKUP(D47,products!$A$1:$A$49,products!$E$1:$E$49,,0)</f>
        <v>29.784999999999997</v>
      </c>
      <c r="M47">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_xlfn.XLOOKUP(orders!D48,products!$A$1:$A$49,products!$B$1:$B$49,,0)</f>
        <v>Exc</v>
      </c>
      <c r="J48" t="str">
        <f>_xlfn.XLOOKUP(D48,products!$A$1:$A$49,products!$C$1:$C$49,,0)</f>
        <v>M</v>
      </c>
      <c r="K48" s="13">
        <f>_xlfn.XLOOKUP(D48,products!$A$1:$A$49,products!$D$1:$D$49,,0)</f>
        <v>2.5</v>
      </c>
      <c r="L48" s="5">
        <f>_xlfn.XLOOKUP(D48,products!$A$1:$A$49,products!$E$1:$E$49,,0)</f>
        <v>31.624999999999996</v>
      </c>
      <c r="M48">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_xlfn.XLOOKUP(orders!D49,products!$A$1:$A$49,products!$B$1:$B$49,,0)</f>
        <v>Ara</v>
      </c>
      <c r="J49" t="str">
        <f>_xlfn.XLOOKUP(D49,products!$A$1:$A$49,products!$C$1:$C$49,,0)</f>
        <v>L</v>
      </c>
      <c r="K49" s="13">
        <f>_xlfn.XLOOKUP(D49,products!$A$1:$A$49,products!$D$1:$D$49,,0)</f>
        <v>0.2</v>
      </c>
      <c r="L49" s="5">
        <f>_xlfn.XLOOKUP(D49,products!$A$1:$A$49,products!$E$1:$E$49,,0)</f>
        <v>3.8849999999999998</v>
      </c>
      <c r="M49">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_xlfn.XLOOKUP(orders!D50,products!$A$1:$A$49,products!$B$1:$B$49,,0)</f>
        <v>Ara</v>
      </c>
      <c r="J50" t="str">
        <f>_xlfn.XLOOKUP(D50,products!$A$1:$A$49,products!$C$1:$C$49,,0)</f>
        <v>D</v>
      </c>
      <c r="K50" s="13">
        <f>_xlfn.XLOOKUP(D50,products!$A$1:$A$49,products!$D$1:$D$49,,0)</f>
        <v>2.5</v>
      </c>
      <c r="L50" s="5">
        <f>_xlfn.XLOOKUP(D50,products!$A$1:$A$49,products!$E$1:$E$49,,0)</f>
        <v>22.884999999999998</v>
      </c>
      <c r="M50">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_xlfn.XLOOKUP(orders!D51,products!$A$1:$A$49,products!$B$1:$B$49,,0)</f>
        <v>Ara</v>
      </c>
      <c r="J51" t="str">
        <f>_xlfn.XLOOKUP(D51,products!$A$1:$A$49,products!$C$1:$C$49,,0)</f>
        <v>L</v>
      </c>
      <c r="K51" s="13">
        <f>_xlfn.XLOOKUP(D51,products!$A$1:$A$49,products!$D$1:$D$49,,0)</f>
        <v>1</v>
      </c>
      <c r="L51" s="5">
        <f>_xlfn.XLOOKUP(D51,products!$A$1:$A$49,products!$E$1:$E$49,,0)</f>
        <v>12.95</v>
      </c>
      <c r="M51">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_xlfn.XLOOKUP(orders!D52,products!$A$1:$A$49,products!$B$1:$B$49,,0)</f>
        <v>Lib</v>
      </c>
      <c r="J52" t="str">
        <f>_xlfn.XLOOKUP(D52,products!$A$1:$A$49,products!$C$1:$C$49,,0)</f>
        <v>D</v>
      </c>
      <c r="K52" s="13">
        <f>_xlfn.XLOOKUP(D52,products!$A$1:$A$49,products!$D$1:$D$49,,0)</f>
        <v>0.5</v>
      </c>
      <c r="L52" s="5">
        <f>_xlfn.XLOOKUP(D52,products!$A$1:$A$49,products!$E$1:$E$49,,0)</f>
        <v>7.77</v>
      </c>
      <c r="M52">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_xlfn.XLOOKUP(orders!D53,products!$A$1:$A$49,products!$B$1:$B$49,,0)</f>
        <v>Lib</v>
      </c>
      <c r="J53" t="str">
        <f>_xlfn.XLOOKUP(D53,products!$A$1:$A$49,products!$C$1:$C$49,,0)</f>
        <v>L</v>
      </c>
      <c r="K53" s="13">
        <f>_xlfn.XLOOKUP(D53,products!$A$1:$A$49,products!$D$1:$D$49,,0)</f>
        <v>2.5</v>
      </c>
      <c r="L53" s="5">
        <f>_xlfn.XLOOKUP(D53,products!$A$1:$A$49,products!$E$1:$E$49,,0)</f>
        <v>36.454999999999998</v>
      </c>
      <c r="M53">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_xlfn.XLOOKUP(orders!D54,products!$A$1:$A$49,products!$B$1:$B$49,,0)</f>
        <v>Rob</v>
      </c>
      <c r="J54" t="str">
        <f>_xlfn.XLOOKUP(D54,products!$A$1:$A$49,products!$C$1:$C$49,,0)</f>
        <v>M</v>
      </c>
      <c r="K54" s="13">
        <f>_xlfn.XLOOKUP(D54,products!$A$1:$A$49,products!$D$1:$D$49,,0)</f>
        <v>0.5</v>
      </c>
      <c r="L54" s="5">
        <f>_xlfn.XLOOKUP(D54,products!$A$1:$A$49,products!$E$1:$E$49,,0)</f>
        <v>5.97</v>
      </c>
      <c r="M54">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_xlfn.XLOOKUP(orders!D55,products!$A$1:$A$49,products!$B$1:$B$49,,0)</f>
        <v>Lib</v>
      </c>
      <c r="J55" t="str">
        <f>_xlfn.XLOOKUP(D55,products!$A$1:$A$49,products!$C$1:$C$49,,0)</f>
        <v>L</v>
      </c>
      <c r="K55" s="13">
        <f>_xlfn.XLOOKUP(D55,products!$A$1:$A$49,products!$D$1:$D$49,,0)</f>
        <v>2.5</v>
      </c>
      <c r="L55" s="5">
        <f>_xlfn.XLOOKUP(D55,products!$A$1:$A$49,products!$E$1:$E$49,,0)</f>
        <v>36.454999999999998</v>
      </c>
      <c r="M5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_xlfn.XLOOKUP(orders!D56,products!$A$1:$A$49,products!$B$1:$B$49,,0)</f>
        <v>Lib</v>
      </c>
      <c r="J56" t="str">
        <f>_xlfn.XLOOKUP(D56,products!$A$1:$A$49,products!$C$1:$C$49,,0)</f>
        <v>M</v>
      </c>
      <c r="K56" s="13">
        <f>_xlfn.XLOOKUP(D56,products!$A$1:$A$49,products!$D$1:$D$49,,0)</f>
        <v>1</v>
      </c>
      <c r="L56" s="5">
        <f>_xlfn.XLOOKUP(D56,products!$A$1:$A$49,products!$E$1:$E$49,,0)</f>
        <v>14.55</v>
      </c>
      <c r="M56">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_xlfn.XLOOKUP(orders!D57,products!$A$1:$A$49,products!$B$1:$B$49,,0)</f>
        <v>Lib</v>
      </c>
      <c r="J57" t="str">
        <f>_xlfn.XLOOKUP(D57,products!$A$1:$A$49,products!$C$1:$C$49,,0)</f>
        <v>L</v>
      </c>
      <c r="K57" s="13">
        <f>_xlfn.XLOOKUP(D57,products!$A$1:$A$49,products!$D$1:$D$49,,0)</f>
        <v>1</v>
      </c>
      <c r="L57" s="5">
        <f>_xlfn.XLOOKUP(D57,products!$A$1:$A$49,products!$E$1:$E$49,,0)</f>
        <v>15.85</v>
      </c>
      <c r="M57">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_xlfn.XLOOKUP(orders!D58,products!$A$1:$A$49,products!$B$1:$B$49,,0)</f>
        <v>Exc</v>
      </c>
      <c r="J58" t="str">
        <f>_xlfn.XLOOKUP(D58,products!$A$1:$A$49,products!$C$1:$C$49,,0)</f>
        <v>D</v>
      </c>
      <c r="K58" s="13">
        <f>_xlfn.XLOOKUP(D58,products!$A$1:$A$49,products!$D$1:$D$49,,0)</f>
        <v>0.2</v>
      </c>
      <c r="L58" s="5">
        <f>_xlfn.XLOOKUP(D58,products!$A$1:$A$49,products!$E$1:$E$49,,0)</f>
        <v>3.645</v>
      </c>
      <c r="M58">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_xlfn.XLOOKUP(orders!D59,products!$A$1:$A$49,products!$B$1:$B$49,,0)</f>
        <v>Exc</v>
      </c>
      <c r="J59" t="str">
        <f>_xlfn.XLOOKUP(D59,products!$A$1:$A$49,products!$C$1:$C$49,,0)</f>
        <v>L</v>
      </c>
      <c r="K59" s="13">
        <f>_xlfn.XLOOKUP(D59,products!$A$1:$A$49,products!$D$1:$D$49,,0)</f>
        <v>1</v>
      </c>
      <c r="L59" s="5">
        <f>_xlfn.XLOOKUP(D59,products!$A$1:$A$49,products!$E$1:$E$49,,0)</f>
        <v>14.85</v>
      </c>
      <c r="M59">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_xlfn.XLOOKUP(orders!D60,products!$A$1:$A$49,products!$B$1:$B$49,,0)</f>
        <v>Lib</v>
      </c>
      <c r="J60" t="str">
        <f>_xlfn.XLOOKUP(D60,products!$A$1:$A$49,products!$C$1:$C$49,,0)</f>
        <v>D</v>
      </c>
      <c r="K60" s="13">
        <f>_xlfn.XLOOKUP(D60,products!$A$1:$A$49,products!$D$1:$D$49,,0)</f>
        <v>2.5</v>
      </c>
      <c r="L60" s="5">
        <f>_xlfn.XLOOKUP(D60,products!$A$1:$A$49,products!$E$1:$E$49,,0)</f>
        <v>29.784999999999997</v>
      </c>
      <c r="M60">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_xlfn.XLOOKUP(orders!D61,products!$A$1:$A$49,products!$B$1:$B$49,,0)</f>
        <v>Lib</v>
      </c>
      <c r="J61" t="str">
        <f>_xlfn.XLOOKUP(D61,products!$A$1:$A$49,products!$C$1:$C$49,,0)</f>
        <v>M</v>
      </c>
      <c r="K61" s="13">
        <f>_xlfn.XLOOKUP(D61,products!$A$1:$A$49,products!$D$1:$D$49,,0)</f>
        <v>0.5</v>
      </c>
      <c r="L61" s="5">
        <f>_xlfn.XLOOKUP(D61,products!$A$1:$A$49,products!$E$1:$E$49,,0)</f>
        <v>8.73</v>
      </c>
      <c r="M61">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_xlfn.XLOOKUP(orders!D62,products!$A$1:$A$49,products!$B$1:$B$49,,0)</f>
        <v>Ara</v>
      </c>
      <c r="J62" t="str">
        <f>_xlfn.XLOOKUP(D62,products!$A$1:$A$49,products!$C$1:$C$49,,0)</f>
        <v>D</v>
      </c>
      <c r="K62" s="13">
        <f>_xlfn.XLOOKUP(D62,products!$A$1:$A$49,products!$D$1:$D$49,,0)</f>
        <v>2.5</v>
      </c>
      <c r="L62" s="5">
        <f>_xlfn.XLOOKUP(D62,products!$A$1:$A$49,products!$E$1:$E$49,,0)</f>
        <v>22.884999999999998</v>
      </c>
      <c r="M62">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_xlfn.XLOOKUP(orders!D63,products!$A$1:$A$49,products!$B$1:$B$49,,0)</f>
        <v>Rob</v>
      </c>
      <c r="J63" t="str">
        <f>_xlfn.XLOOKUP(D63,products!$A$1:$A$49,products!$C$1:$C$49,,0)</f>
        <v>D</v>
      </c>
      <c r="K63" s="13">
        <f>_xlfn.XLOOKUP(D63,products!$A$1:$A$49,products!$D$1:$D$49,,0)</f>
        <v>0.5</v>
      </c>
      <c r="L63" s="5">
        <f>_xlfn.XLOOKUP(D63,products!$A$1:$A$49,products!$E$1:$E$49,,0)</f>
        <v>5.3699999999999992</v>
      </c>
      <c r="M63">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_xlfn.XLOOKUP(orders!D64,products!$A$1:$A$49,products!$B$1:$B$49,,0)</f>
        <v>Lib</v>
      </c>
      <c r="J64" t="str">
        <f>_xlfn.XLOOKUP(D64,products!$A$1:$A$49,products!$C$1:$C$49,,0)</f>
        <v>L</v>
      </c>
      <c r="K64" s="13">
        <f>_xlfn.XLOOKUP(D64,products!$A$1:$A$49,products!$D$1:$D$49,,0)</f>
        <v>0.2</v>
      </c>
      <c r="L64" s="5">
        <f>_xlfn.XLOOKUP(D64,products!$A$1:$A$49,products!$E$1:$E$49,,0)</f>
        <v>4.7549999999999999</v>
      </c>
      <c r="M64">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_xlfn.XLOOKUP(orders!D65,products!$A$1:$A$49,products!$B$1:$B$49,,0)</f>
        <v>Ara</v>
      </c>
      <c r="J65" t="str">
        <f>_xlfn.XLOOKUP(D65,products!$A$1:$A$49,products!$C$1:$C$49,,0)</f>
        <v>M</v>
      </c>
      <c r="K65" s="13">
        <f>_xlfn.XLOOKUP(D65,products!$A$1:$A$49,products!$D$1:$D$49,,0)</f>
        <v>0.5</v>
      </c>
      <c r="L65" s="5">
        <f>_xlfn.XLOOKUP(D65,products!$A$1:$A$49,products!$E$1:$E$49,,0)</f>
        <v>6.75</v>
      </c>
      <c r="M6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_xlfn.XLOOKUP(orders!D66,products!$A$1:$A$49,products!$B$1:$B$49,,0)</f>
        <v>Rob</v>
      </c>
      <c r="J66" t="str">
        <f>_xlfn.XLOOKUP(D66,products!$A$1:$A$49,products!$C$1:$C$49,,0)</f>
        <v>M</v>
      </c>
      <c r="K66" s="13">
        <f>_xlfn.XLOOKUP(D66,products!$A$1:$A$49,products!$D$1:$D$49,,0)</f>
        <v>0.5</v>
      </c>
      <c r="L66" s="5">
        <f>_xlfn.XLOOKUP(D66,products!$A$1:$A$49,products!$E$1:$E$49,,0)</f>
        <v>5.97</v>
      </c>
      <c r="M66">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_xlfn.XLOOKUP(orders!D67,products!$A$1:$A$49,products!$B$1:$B$49,,0)</f>
        <v>Rob</v>
      </c>
      <c r="J67" t="str">
        <f>_xlfn.XLOOKUP(D67,products!$A$1:$A$49,products!$C$1:$C$49,,0)</f>
        <v>D</v>
      </c>
      <c r="K67" s="13">
        <f>_xlfn.XLOOKUP(D67,products!$A$1:$A$49,products!$D$1:$D$49,,0)</f>
        <v>2.5</v>
      </c>
      <c r="L67" s="5">
        <f>_xlfn.XLOOKUP(D67,products!$A$1:$A$49,products!$E$1:$E$49,,0)</f>
        <v>20.584999999999997</v>
      </c>
      <c r="M67">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_xlfn.XLOOKUP(orders!D68,products!$A$1:$A$49,products!$B$1:$B$49,,0)</f>
        <v>Rob</v>
      </c>
      <c r="J68" t="str">
        <f>_xlfn.XLOOKUP(D68,products!$A$1:$A$49,products!$C$1:$C$49,,0)</f>
        <v>L</v>
      </c>
      <c r="K68" s="13">
        <f>_xlfn.XLOOKUP(D68,products!$A$1:$A$49,products!$D$1:$D$49,,0)</f>
        <v>0.5</v>
      </c>
      <c r="L68" s="5">
        <f>_xlfn.XLOOKUP(D68,products!$A$1:$A$49,products!$E$1:$E$49,,0)</f>
        <v>7.169999999999999</v>
      </c>
      <c r="M68">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_xlfn.XLOOKUP(orders!D69,products!$A$1:$A$49,products!$B$1:$B$49,,0)</f>
        <v>Lib</v>
      </c>
      <c r="J69" t="str">
        <f>_xlfn.XLOOKUP(D69,products!$A$1:$A$49,products!$C$1:$C$49,,0)</f>
        <v>L</v>
      </c>
      <c r="K69" s="13">
        <f>_xlfn.XLOOKUP(D69,products!$A$1:$A$49,products!$D$1:$D$49,,0)</f>
        <v>0.2</v>
      </c>
      <c r="L69" s="5">
        <f>_xlfn.XLOOKUP(D69,products!$A$1:$A$49,products!$E$1:$E$49,,0)</f>
        <v>4.7549999999999999</v>
      </c>
      <c r="M69">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_xlfn.XLOOKUP(orders!D70,products!$A$1:$A$49,products!$B$1:$B$49,,0)</f>
        <v>Rob</v>
      </c>
      <c r="J70" t="str">
        <f>_xlfn.XLOOKUP(D70,products!$A$1:$A$49,products!$C$1:$C$49,,0)</f>
        <v>M</v>
      </c>
      <c r="K70" s="13">
        <f>_xlfn.XLOOKUP(D70,products!$A$1:$A$49,products!$D$1:$D$49,,0)</f>
        <v>0.2</v>
      </c>
      <c r="L70" s="5">
        <f>_xlfn.XLOOKUP(D70,products!$A$1:$A$49,products!$E$1:$E$49,,0)</f>
        <v>2.9849999999999999</v>
      </c>
      <c r="M70">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_xlfn.XLOOKUP(orders!D71,products!$A$1:$A$49,products!$B$1:$B$49,,0)</f>
        <v>Rob</v>
      </c>
      <c r="J71" t="str">
        <f>_xlfn.XLOOKUP(D71,products!$A$1:$A$49,products!$C$1:$C$49,,0)</f>
        <v>M</v>
      </c>
      <c r="K71" s="13">
        <f>_xlfn.XLOOKUP(D71,products!$A$1:$A$49,products!$D$1:$D$49,,0)</f>
        <v>1</v>
      </c>
      <c r="L71" s="5">
        <f>_xlfn.XLOOKUP(D71,products!$A$1:$A$49,products!$E$1:$E$49,,0)</f>
        <v>9.9499999999999993</v>
      </c>
      <c r="M71">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_xlfn.XLOOKUP(orders!D72,products!$A$1:$A$49,products!$B$1:$B$49,,0)</f>
        <v>Exc</v>
      </c>
      <c r="J72" t="str">
        <f>_xlfn.XLOOKUP(D72,products!$A$1:$A$49,products!$C$1:$C$49,,0)</f>
        <v>L</v>
      </c>
      <c r="K72" s="13">
        <f>_xlfn.XLOOKUP(D72,products!$A$1:$A$49,products!$D$1:$D$49,,0)</f>
        <v>2.5</v>
      </c>
      <c r="L72" s="5">
        <f>_xlfn.XLOOKUP(D72,products!$A$1:$A$49,products!$E$1:$E$49,,0)</f>
        <v>34.154999999999994</v>
      </c>
      <c r="M72">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_xlfn.XLOOKUP(orders!D73,products!$A$1:$A$49,products!$B$1:$B$49,,0)</f>
        <v>Lib</v>
      </c>
      <c r="J73" t="str">
        <f>_xlfn.XLOOKUP(D73,products!$A$1:$A$49,products!$C$1:$C$49,,0)</f>
        <v>L</v>
      </c>
      <c r="K73" s="13">
        <f>_xlfn.XLOOKUP(D73,products!$A$1:$A$49,products!$D$1:$D$49,,0)</f>
        <v>0.2</v>
      </c>
      <c r="L73" s="5">
        <f>_xlfn.XLOOKUP(D73,products!$A$1:$A$49,products!$E$1:$E$49,,0)</f>
        <v>4.7549999999999999</v>
      </c>
      <c r="M73">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_xlfn.XLOOKUP(orders!D74,products!$A$1:$A$49,products!$B$1:$B$49,,0)</f>
        <v>Ara</v>
      </c>
      <c r="J74" t="str">
        <f>_xlfn.XLOOKUP(D74,products!$A$1:$A$49,products!$C$1:$C$49,,0)</f>
        <v>M</v>
      </c>
      <c r="K74" s="13">
        <f>_xlfn.XLOOKUP(D74,products!$A$1:$A$49,products!$D$1:$D$49,,0)</f>
        <v>2.5</v>
      </c>
      <c r="L74" s="5">
        <f>_xlfn.XLOOKUP(D74,products!$A$1:$A$49,products!$E$1:$E$49,,0)</f>
        <v>25.874999999999996</v>
      </c>
      <c r="M74">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_xlfn.XLOOKUP(orders!D75,products!$A$1:$A$49,products!$B$1:$B$49,,0)</f>
        <v>Lib</v>
      </c>
      <c r="J75" t="str">
        <f>_xlfn.XLOOKUP(D75,products!$A$1:$A$49,products!$C$1:$C$49,,0)</f>
        <v>M</v>
      </c>
      <c r="K75" s="13">
        <f>_xlfn.XLOOKUP(D75,products!$A$1:$A$49,products!$D$1:$D$49,,0)</f>
        <v>0.2</v>
      </c>
      <c r="L75" s="5">
        <f>_xlfn.XLOOKUP(D75,products!$A$1:$A$49,products!$E$1:$E$49,,0)</f>
        <v>4.3650000000000002</v>
      </c>
      <c r="M7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_xlfn.XLOOKUP(orders!D76,products!$A$1:$A$49,products!$B$1:$B$49,,0)</f>
        <v>Exc</v>
      </c>
      <c r="J76" t="str">
        <f>_xlfn.XLOOKUP(D76,products!$A$1:$A$49,products!$C$1:$C$49,,0)</f>
        <v>L</v>
      </c>
      <c r="K76" s="13">
        <f>_xlfn.XLOOKUP(D76,products!$A$1:$A$49,products!$D$1:$D$49,,0)</f>
        <v>0.5</v>
      </c>
      <c r="L76" s="5">
        <f>_xlfn.XLOOKUP(D76,products!$A$1:$A$49,products!$E$1:$E$49,,0)</f>
        <v>8.91</v>
      </c>
      <c r="M76">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_xlfn.XLOOKUP(orders!D77,products!$A$1:$A$49,products!$B$1:$B$49,,0)</f>
        <v>Rob</v>
      </c>
      <c r="J77" t="str">
        <f>_xlfn.XLOOKUP(D77,products!$A$1:$A$49,products!$C$1:$C$49,,0)</f>
        <v>D</v>
      </c>
      <c r="K77" s="13">
        <f>_xlfn.XLOOKUP(D77,products!$A$1:$A$49,products!$D$1:$D$49,,0)</f>
        <v>1</v>
      </c>
      <c r="L77" s="5">
        <f>_xlfn.XLOOKUP(D77,products!$A$1:$A$49,products!$E$1:$E$49,,0)</f>
        <v>8.9499999999999993</v>
      </c>
      <c r="M77">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_xlfn.XLOOKUP(orders!D78,products!$A$1:$A$49,products!$B$1:$B$49,,0)</f>
        <v>Rob</v>
      </c>
      <c r="J78" t="str">
        <f>_xlfn.XLOOKUP(D78,products!$A$1:$A$49,products!$C$1:$C$49,,0)</f>
        <v>L</v>
      </c>
      <c r="K78" s="13">
        <f>_xlfn.XLOOKUP(D78,products!$A$1:$A$49,products!$D$1:$D$49,,0)</f>
        <v>0.2</v>
      </c>
      <c r="L78" s="5">
        <f>_xlfn.XLOOKUP(D78,products!$A$1:$A$49,products!$E$1:$E$49,,0)</f>
        <v>3.5849999999999995</v>
      </c>
      <c r="M78">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_xlfn.XLOOKUP(orders!D79,products!$A$1:$A$49,products!$B$1:$B$49,,0)</f>
        <v>Exc</v>
      </c>
      <c r="J79" t="str">
        <f>_xlfn.XLOOKUP(D79,products!$A$1:$A$49,products!$C$1:$C$49,,0)</f>
        <v>D</v>
      </c>
      <c r="K79" s="13">
        <f>_xlfn.XLOOKUP(D79,products!$A$1:$A$49,products!$D$1:$D$49,,0)</f>
        <v>0.2</v>
      </c>
      <c r="L79" s="5">
        <f>_xlfn.XLOOKUP(D79,products!$A$1:$A$49,products!$E$1:$E$49,,0)</f>
        <v>3.645</v>
      </c>
      <c r="M79">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_xlfn.XLOOKUP(orders!D80,products!$A$1:$A$49,products!$B$1:$B$49,,0)</f>
        <v>Ara</v>
      </c>
      <c r="J80" t="str">
        <f>_xlfn.XLOOKUP(D80,products!$A$1:$A$49,products!$C$1:$C$49,,0)</f>
        <v>M</v>
      </c>
      <c r="K80" s="13">
        <f>_xlfn.XLOOKUP(D80,products!$A$1:$A$49,products!$D$1:$D$49,,0)</f>
        <v>0.5</v>
      </c>
      <c r="L80" s="5">
        <f>_xlfn.XLOOKUP(D80,products!$A$1:$A$49,products!$E$1:$E$49,,0)</f>
        <v>6.75</v>
      </c>
      <c r="M80">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_xlfn.XLOOKUP(orders!D81,products!$A$1:$A$49,products!$B$1:$B$49,,0)</f>
        <v>Rob</v>
      </c>
      <c r="J81" t="str">
        <f>_xlfn.XLOOKUP(D81,products!$A$1:$A$49,products!$C$1:$C$49,,0)</f>
        <v>L</v>
      </c>
      <c r="K81" s="13">
        <f>_xlfn.XLOOKUP(D81,products!$A$1:$A$49,products!$D$1:$D$49,,0)</f>
        <v>1</v>
      </c>
      <c r="L81" s="5">
        <f>_xlfn.XLOOKUP(D81,products!$A$1:$A$49,products!$E$1:$E$49,,0)</f>
        <v>11.95</v>
      </c>
      <c r="M81">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_xlfn.XLOOKUP(orders!D82,products!$A$1:$A$49,products!$B$1:$B$49,,0)</f>
        <v>Ara</v>
      </c>
      <c r="J82" t="str">
        <f>_xlfn.XLOOKUP(D82,products!$A$1:$A$49,products!$C$1:$C$49,,0)</f>
        <v>L</v>
      </c>
      <c r="K82" s="13">
        <f>_xlfn.XLOOKUP(D82,products!$A$1:$A$49,products!$D$1:$D$49,,0)</f>
        <v>0.5</v>
      </c>
      <c r="L82" s="5">
        <f>_xlfn.XLOOKUP(D82,products!$A$1:$A$49,products!$E$1:$E$49,,0)</f>
        <v>7.77</v>
      </c>
      <c r="M82">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_xlfn.XLOOKUP(orders!D83,products!$A$1:$A$49,products!$B$1:$B$49,,0)</f>
        <v>Lib</v>
      </c>
      <c r="J83" t="str">
        <f>_xlfn.XLOOKUP(D83,products!$A$1:$A$49,products!$C$1:$C$49,,0)</f>
        <v>L</v>
      </c>
      <c r="K83" s="13">
        <f>_xlfn.XLOOKUP(D83,products!$A$1:$A$49,products!$D$1:$D$49,,0)</f>
        <v>2.5</v>
      </c>
      <c r="L83" s="5">
        <f>_xlfn.XLOOKUP(D83,products!$A$1:$A$49,products!$E$1:$E$49,,0)</f>
        <v>36.454999999999998</v>
      </c>
      <c r="M83">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_xlfn.XLOOKUP(orders!D84,products!$A$1:$A$49,products!$B$1:$B$49,,0)</f>
        <v>Lib</v>
      </c>
      <c r="J84" t="str">
        <f>_xlfn.XLOOKUP(D84,products!$A$1:$A$49,products!$C$1:$C$49,,0)</f>
        <v>M</v>
      </c>
      <c r="K84" s="13">
        <f>_xlfn.XLOOKUP(D84,products!$A$1:$A$49,products!$D$1:$D$49,,0)</f>
        <v>2.5</v>
      </c>
      <c r="L84" s="5">
        <f>_xlfn.XLOOKUP(D84,products!$A$1:$A$49,products!$E$1:$E$49,,0)</f>
        <v>33.464999999999996</v>
      </c>
      <c r="M84">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_xlfn.XLOOKUP(orders!D85,products!$A$1:$A$49,products!$B$1:$B$49,,0)</f>
        <v>Rob</v>
      </c>
      <c r="J85" t="str">
        <f>_xlfn.XLOOKUP(D85,products!$A$1:$A$49,products!$C$1:$C$49,,0)</f>
        <v>D</v>
      </c>
      <c r="K85" s="13">
        <f>_xlfn.XLOOKUP(D85,products!$A$1:$A$49,products!$D$1:$D$49,,0)</f>
        <v>2.5</v>
      </c>
      <c r="L85" s="5">
        <f>_xlfn.XLOOKUP(D85,products!$A$1:$A$49,products!$E$1:$E$49,,0)</f>
        <v>20.584999999999997</v>
      </c>
      <c r="M8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_xlfn.XLOOKUP(orders!D86,products!$A$1:$A$49,products!$B$1:$B$49,,0)</f>
        <v>Lib</v>
      </c>
      <c r="J86" t="str">
        <f>_xlfn.XLOOKUP(D86,products!$A$1:$A$49,products!$C$1:$C$49,,0)</f>
        <v>L</v>
      </c>
      <c r="K86" s="13">
        <f>_xlfn.XLOOKUP(D86,products!$A$1:$A$49,products!$D$1:$D$49,,0)</f>
        <v>0.5</v>
      </c>
      <c r="L86" s="5">
        <f>_xlfn.XLOOKUP(D86,products!$A$1:$A$49,products!$E$1:$E$49,,0)</f>
        <v>9.51</v>
      </c>
      <c r="M86">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_xlfn.XLOOKUP(orders!D87,products!$A$1:$A$49,products!$B$1:$B$49,,0)</f>
        <v>Ara</v>
      </c>
      <c r="J87" t="str">
        <f>_xlfn.XLOOKUP(D87,products!$A$1:$A$49,products!$C$1:$C$49,,0)</f>
        <v>L</v>
      </c>
      <c r="K87" s="13">
        <f>_xlfn.XLOOKUP(D87,products!$A$1:$A$49,products!$D$1:$D$49,,0)</f>
        <v>2.5</v>
      </c>
      <c r="L87" s="5">
        <f>_xlfn.XLOOKUP(D87,products!$A$1:$A$49,products!$E$1:$E$49,,0)</f>
        <v>29.784999999999997</v>
      </c>
      <c r="M87">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_xlfn.XLOOKUP(orders!D88,products!$A$1:$A$49,products!$B$1:$B$49,,0)</f>
        <v>Ara</v>
      </c>
      <c r="J88" t="str">
        <f>_xlfn.XLOOKUP(D88,products!$A$1:$A$49,products!$C$1:$C$49,,0)</f>
        <v>D</v>
      </c>
      <c r="K88" s="13">
        <f>_xlfn.XLOOKUP(D88,products!$A$1:$A$49,products!$D$1:$D$49,,0)</f>
        <v>0.2</v>
      </c>
      <c r="L88" s="5">
        <f>_xlfn.XLOOKUP(D88,products!$A$1:$A$49,products!$E$1:$E$49,,0)</f>
        <v>2.9849999999999999</v>
      </c>
      <c r="M88">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_xlfn.XLOOKUP(orders!D89,products!$A$1:$A$49,products!$B$1:$B$49,,0)</f>
        <v>Ara</v>
      </c>
      <c r="J89" t="str">
        <f>_xlfn.XLOOKUP(D89,products!$A$1:$A$49,products!$C$1:$C$49,,0)</f>
        <v>M</v>
      </c>
      <c r="K89" s="13">
        <f>_xlfn.XLOOKUP(D89,products!$A$1:$A$49,products!$D$1:$D$49,,0)</f>
        <v>1</v>
      </c>
      <c r="L89" s="5">
        <f>_xlfn.XLOOKUP(D89,products!$A$1:$A$49,products!$E$1:$E$49,,0)</f>
        <v>11.25</v>
      </c>
      <c r="M89">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_xlfn.XLOOKUP(orders!D90,products!$A$1:$A$49,products!$B$1:$B$49,,0)</f>
        <v>Rob</v>
      </c>
      <c r="J90" t="str">
        <f>_xlfn.XLOOKUP(D90,products!$A$1:$A$49,products!$C$1:$C$49,,0)</f>
        <v>L</v>
      </c>
      <c r="K90" s="13">
        <f>_xlfn.XLOOKUP(D90,products!$A$1:$A$49,products!$D$1:$D$49,,0)</f>
        <v>1</v>
      </c>
      <c r="L90" s="5">
        <f>_xlfn.XLOOKUP(D90,products!$A$1:$A$49,products!$E$1:$E$49,,0)</f>
        <v>11.95</v>
      </c>
      <c r="M90">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_xlfn.XLOOKUP(orders!D91,products!$A$1:$A$49,products!$B$1:$B$49,,0)</f>
        <v>Ara</v>
      </c>
      <c r="J91" t="str">
        <f>_xlfn.XLOOKUP(D91,products!$A$1:$A$49,products!$C$1:$C$49,,0)</f>
        <v>L</v>
      </c>
      <c r="K91" s="13">
        <f>_xlfn.XLOOKUP(D91,products!$A$1:$A$49,products!$D$1:$D$49,,0)</f>
        <v>1</v>
      </c>
      <c r="L91" s="5">
        <f>_xlfn.XLOOKUP(D91,products!$A$1:$A$49,products!$E$1:$E$49,,0)</f>
        <v>12.95</v>
      </c>
      <c r="M91">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_xlfn.XLOOKUP(orders!D92,products!$A$1:$A$49,products!$B$1:$B$49,,0)</f>
        <v>Ara</v>
      </c>
      <c r="J92" t="str">
        <f>_xlfn.XLOOKUP(D92,products!$A$1:$A$49,products!$C$1:$C$49,,0)</f>
        <v>L</v>
      </c>
      <c r="K92" s="13">
        <f>_xlfn.XLOOKUP(D92,products!$A$1:$A$49,products!$D$1:$D$49,,0)</f>
        <v>1</v>
      </c>
      <c r="L92" s="5">
        <f>_xlfn.XLOOKUP(D92,products!$A$1:$A$49,products!$E$1:$E$49,,0)</f>
        <v>12.95</v>
      </c>
      <c r="M92">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_xlfn.XLOOKUP(orders!D93,products!$A$1:$A$49,products!$B$1:$B$49,,0)</f>
        <v>Ara</v>
      </c>
      <c r="J93" t="str">
        <f>_xlfn.XLOOKUP(D93,products!$A$1:$A$49,products!$C$1:$C$49,,0)</f>
        <v>M</v>
      </c>
      <c r="K93" s="13">
        <f>_xlfn.XLOOKUP(D93,products!$A$1:$A$49,products!$D$1:$D$49,,0)</f>
        <v>2.5</v>
      </c>
      <c r="L93" s="5">
        <f>_xlfn.XLOOKUP(D93,products!$A$1:$A$49,products!$E$1:$E$49,,0)</f>
        <v>25.874999999999996</v>
      </c>
      <c r="M93">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_xlfn.XLOOKUP(orders!D94,products!$A$1:$A$49,products!$B$1:$B$49,,0)</f>
        <v>Exc</v>
      </c>
      <c r="J94" t="str">
        <f>_xlfn.XLOOKUP(D94,products!$A$1:$A$49,products!$C$1:$C$49,,0)</f>
        <v>L</v>
      </c>
      <c r="K94" s="13">
        <f>_xlfn.XLOOKUP(D94,products!$A$1:$A$49,products!$D$1:$D$49,,0)</f>
        <v>1</v>
      </c>
      <c r="L94" s="5">
        <f>_xlfn.XLOOKUP(D94,products!$A$1:$A$49,products!$E$1:$E$49,,0)</f>
        <v>14.85</v>
      </c>
      <c r="M94">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_xlfn.XLOOKUP(orders!D95,products!$A$1:$A$49,products!$B$1:$B$49,,0)</f>
        <v>Exc</v>
      </c>
      <c r="J95" t="str">
        <f>_xlfn.XLOOKUP(D95,products!$A$1:$A$49,products!$C$1:$C$49,,0)</f>
        <v>L</v>
      </c>
      <c r="K95" s="13">
        <f>_xlfn.XLOOKUP(D95,products!$A$1:$A$49,products!$D$1:$D$49,,0)</f>
        <v>0.5</v>
      </c>
      <c r="L95" s="5">
        <f>_xlfn.XLOOKUP(D95,products!$A$1:$A$49,products!$E$1:$E$49,,0)</f>
        <v>8.91</v>
      </c>
      <c r="M9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_xlfn.XLOOKUP(orders!D96,products!$A$1:$A$49,products!$B$1:$B$49,,0)</f>
        <v>Ara</v>
      </c>
      <c r="J96" t="str">
        <f>_xlfn.XLOOKUP(D96,products!$A$1:$A$49,products!$C$1:$C$49,,0)</f>
        <v>D</v>
      </c>
      <c r="K96" s="13">
        <f>_xlfn.XLOOKUP(D96,products!$A$1:$A$49,products!$D$1:$D$49,,0)</f>
        <v>0.2</v>
      </c>
      <c r="L96" s="5">
        <f>_xlfn.XLOOKUP(D96,products!$A$1:$A$49,products!$E$1:$E$49,,0)</f>
        <v>2.9849999999999999</v>
      </c>
      <c r="M96">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_xlfn.XLOOKUP(orders!D97,products!$A$1:$A$49,products!$B$1:$B$49,,0)</f>
        <v>Ara</v>
      </c>
      <c r="J97" t="str">
        <f>_xlfn.XLOOKUP(D97,products!$A$1:$A$49,products!$C$1:$C$49,,0)</f>
        <v>M</v>
      </c>
      <c r="K97" s="13">
        <f>_xlfn.XLOOKUP(D97,products!$A$1:$A$49,products!$D$1:$D$49,,0)</f>
        <v>2.5</v>
      </c>
      <c r="L97" s="5">
        <f>_xlfn.XLOOKUP(D97,products!$A$1:$A$49,products!$E$1:$E$49,,0)</f>
        <v>25.874999999999996</v>
      </c>
      <c r="M97">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_xlfn.XLOOKUP(orders!D98,products!$A$1:$A$49,products!$B$1:$B$49,,0)</f>
        <v>Ara</v>
      </c>
      <c r="J98" t="str">
        <f>_xlfn.XLOOKUP(D98,products!$A$1:$A$49,products!$C$1:$C$49,,0)</f>
        <v>D</v>
      </c>
      <c r="K98" s="13">
        <f>_xlfn.XLOOKUP(D98,products!$A$1:$A$49,products!$D$1:$D$49,,0)</f>
        <v>0.2</v>
      </c>
      <c r="L98" s="5">
        <f>_xlfn.XLOOKUP(D98,products!$A$1:$A$49,products!$E$1:$E$49,,0)</f>
        <v>2.9849999999999999</v>
      </c>
      <c r="M98">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_xlfn.XLOOKUP(orders!D99,products!$A$1:$A$49,products!$B$1:$B$49,,0)</f>
        <v>Ara</v>
      </c>
      <c r="J99" t="str">
        <f>_xlfn.XLOOKUP(D99,products!$A$1:$A$49,products!$C$1:$C$49,,0)</f>
        <v>M</v>
      </c>
      <c r="K99" s="13">
        <f>_xlfn.XLOOKUP(D99,products!$A$1:$A$49,products!$D$1:$D$49,,0)</f>
        <v>0.5</v>
      </c>
      <c r="L99" s="5">
        <f>_xlfn.XLOOKUP(D99,products!$A$1:$A$49,products!$E$1:$E$49,,0)</f>
        <v>6.75</v>
      </c>
      <c r="M99">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_xlfn.XLOOKUP(orders!D100,products!$A$1:$A$49,products!$B$1:$B$49,,0)</f>
        <v>Ara</v>
      </c>
      <c r="J100" t="str">
        <f>_xlfn.XLOOKUP(D100,products!$A$1:$A$49,products!$C$1:$C$49,,0)</f>
        <v>D</v>
      </c>
      <c r="K100" s="13">
        <f>_xlfn.XLOOKUP(D100,products!$A$1:$A$49,products!$D$1:$D$49,,0)</f>
        <v>0.2</v>
      </c>
      <c r="L100" s="5">
        <f>_xlfn.XLOOKUP(D100,products!$A$1:$A$49,products!$E$1:$E$49,,0)</f>
        <v>2.9849999999999999</v>
      </c>
      <c r="M100">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_xlfn.XLOOKUP(orders!D101,products!$A$1:$A$49,products!$B$1:$B$49,,0)</f>
        <v>Lib</v>
      </c>
      <c r="J101" t="str">
        <f>_xlfn.XLOOKUP(D101,products!$A$1:$A$49,products!$C$1:$C$49,,0)</f>
        <v>M</v>
      </c>
      <c r="K101" s="13">
        <f>_xlfn.XLOOKUP(D101,products!$A$1:$A$49,products!$D$1:$D$49,,0)</f>
        <v>0.2</v>
      </c>
      <c r="L101" s="5">
        <f>_xlfn.XLOOKUP(D101,products!$A$1:$A$49,products!$E$1:$E$49,,0)</f>
        <v>4.3650000000000002</v>
      </c>
      <c r="M101">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_xlfn.XLOOKUP(orders!D102,products!$A$1:$A$49,products!$B$1:$B$49,,0)</f>
        <v>Ara</v>
      </c>
      <c r="J102" t="str">
        <f>_xlfn.XLOOKUP(D102,products!$A$1:$A$49,products!$C$1:$C$49,,0)</f>
        <v>L</v>
      </c>
      <c r="K102" s="13">
        <f>_xlfn.XLOOKUP(D102,products!$A$1:$A$49,products!$D$1:$D$49,,0)</f>
        <v>0.2</v>
      </c>
      <c r="L102" s="5">
        <f>_xlfn.XLOOKUP(D102,products!$A$1:$A$49,products!$E$1:$E$49,,0)</f>
        <v>3.8849999999999998</v>
      </c>
      <c r="M102">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_xlfn.XLOOKUP(orders!D103,products!$A$1:$A$49,products!$B$1:$B$49,,0)</f>
        <v>Lib</v>
      </c>
      <c r="J103" t="str">
        <f>_xlfn.XLOOKUP(D103,products!$A$1:$A$49,products!$C$1:$C$49,,0)</f>
        <v>D</v>
      </c>
      <c r="K103" s="13">
        <f>_xlfn.XLOOKUP(D103,products!$A$1:$A$49,products!$D$1:$D$49,,0)</f>
        <v>2.5</v>
      </c>
      <c r="L103" s="5">
        <f>_xlfn.XLOOKUP(D103,products!$A$1:$A$49,products!$E$1:$E$49,,0)</f>
        <v>29.784999999999997</v>
      </c>
      <c r="M103">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_xlfn.XLOOKUP(orders!D104,products!$A$1:$A$49,products!$B$1:$B$49,,0)</f>
        <v>Lib</v>
      </c>
      <c r="J104" t="str">
        <f>_xlfn.XLOOKUP(D104,products!$A$1:$A$49,products!$C$1:$C$49,,0)</f>
        <v>D</v>
      </c>
      <c r="K104" s="13">
        <f>_xlfn.XLOOKUP(D104,products!$A$1:$A$49,products!$D$1:$D$49,,0)</f>
        <v>1</v>
      </c>
      <c r="L104" s="5">
        <f>_xlfn.XLOOKUP(D104,products!$A$1:$A$49,products!$E$1:$E$49,,0)</f>
        <v>12.95</v>
      </c>
      <c r="M104">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_xlfn.XLOOKUP(orders!D105,products!$A$1:$A$49,products!$B$1:$B$49,,0)</f>
        <v>Rob</v>
      </c>
      <c r="J105" t="str">
        <f>_xlfn.XLOOKUP(D105,products!$A$1:$A$49,products!$C$1:$C$49,,0)</f>
        <v>M</v>
      </c>
      <c r="K105" s="13">
        <f>_xlfn.XLOOKUP(D105,products!$A$1:$A$49,products!$D$1:$D$49,,0)</f>
        <v>0.2</v>
      </c>
      <c r="L105" s="5">
        <f>_xlfn.XLOOKUP(D105,products!$A$1:$A$49,products!$E$1:$E$49,,0)</f>
        <v>2.9849999999999999</v>
      </c>
      <c r="M10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_xlfn.XLOOKUP(orders!D106,products!$A$1:$A$49,products!$B$1:$B$49,,0)</f>
        <v>Lib</v>
      </c>
      <c r="J106" t="str">
        <f>_xlfn.XLOOKUP(D106,products!$A$1:$A$49,products!$C$1:$C$49,,0)</f>
        <v>M</v>
      </c>
      <c r="K106" s="13">
        <f>_xlfn.XLOOKUP(D106,products!$A$1:$A$49,products!$D$1:$D$49,,0)</f>
        <v>1</v>
      </c>
      <c r="L106" s="5">
        <f>_xlfn.XLOOKUP(D106,products!$A$1:$A$49,products!$E$1:$E$49,,0)</f>
        <v>14.55</v>
      </c>
      <c r="M106">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_xlfn.XLOOKUP(orders!D107,products!$A$1:$A$49,products!$B$1:$B$49,,0)</f>
        <v>Ara</v>
      </c>
      <c r="J107" t="str">
        <f>_xlfn.XLOOKUP(D107,products!$A$1:$A$49,products!$C$1:$C$49,,0)</f>
        <v>M</v>
      </c>
      <c r="K107" s="13">
        <f>_xlfn.XLOOKUP(D107,products!$A$1:$A$49,products!$D$1:$D$49,,0)</f>
        <v>0.5</v>
      </c>
      <c r="L107" s="5">
        <f>_xlfn.XLOOKUP(D107,products!$A$1:$A$49,products!$E$1:$E$49,,0)</f>
        <v>6.75</v>
      </c>
      <c r="M107">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_xlfn.XLOOKUP(orders!D108,products!$A$1:$A$49,products!$B$1:$B$49,,0)</f>
        <v>Exc</v>
      </c>
      <c r="J108" t="str">
        <f>_xlfn.XLOOKUP(D108,products!$A$1:$A$49,products!$C$1:$C$49,,0)</f>
        <v>D</v>
      </c>
      <c r="K108" s="13">
        <f>_xlfn.XLOOKUP(D108,products!$A$1:$A$49,products!$D$1:$D$49,,0)</f>
        <v>1</v>
      </c>
      <c r="L108" s="5">
        <f>_xlfn.XLOOKUP(D108,products!$A$1:$A$49,products!$E$1:$E$49,,0)</f>
        <v>12.15</v>
      </c>
      <c r="M108">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_xlfn.XLOOKUP(orders!D109,products!$A$1:$A$49,products!$B$1:$B$49,,0)</f>
        <v>Rob</v>
      </c>
      <c r="J109" t="str">
        <f>_xlfn.XLOOKUP(D109,products!$A$1:$A$49,products!$C$1:$C$49,,0)</f>
        <v>M</v>
      </c>
      <c r="K109" s="13">
        <f>_xlfn.XLOOKUP(D109,products!$A$1:$A$49,products!$D$1:$D$49,,0)</f>
        <v>0.5</v>
      </c>
      <c r="L109" s="5">
        <f>_xlfn.XLOOKUP(D109,products!$A$1:$A$49,products!$E$1:$E$49,,0)</f>
        <v>5.97</v>
      </c>
      <c r="M109">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_xlfn.XLOOKUP(orders!D110,products!$A$1:$A$49,products!$B$1:$B$49,,0)</f>
        <v>Ara</v>
      </c>
      <c r="J110" t="str">
        <f>_xlfn.XLOOKUP(D110,products!$A$1:$A$49,products!$C$1:$C$49,,0)</f>
        <v>M</v>
      </c>
      <c r="K110" s="13">
        <f>_xlfn.XLOOKUP(D110,products!$A$1:$A$49,products!$D$1:$D$49,,0)</f>
        <v>0.5</v>
      </c>
      <c r="L110" s="5">
        <f>_xlfn.XLOOKUP(D110,products!$A$1:$A$49,products!$E$1:$E$49,,0)</f>
        <v>6.75</v>
      </c>
      <c r="M110">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_xlfn.XLOOKUP(orders!D111,products!$A$1:$A$49,products!$B$1:$B$49,,0)</f>
        <v>Lib</v>
      </c>
      <c r="J111" t="str">
        <f>_xlfn.XLOOKUP(D111,products!$A$1:$A$49,products!$C$1:$C$49,,0)</f>
        <v>D</v>
      </c>
      <c r="K111" s="13">
        <f>_xlfn.XLOOKUP(D111,products!$A$1:$A$49,products!$D$1:$D$49,,0)</f>
        <v>0.5</v>
      </c>
      <c r="L111" s="5">
        <f>_xlfn.XLOOKUP(D111,products!$A$1:$A$49,products!$E$1:$E$49,,0)</f>
        <v>7.77</v>
      </c>
      <c r="M111">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_xlfn.XLOOKUP(orders!D112,products!$A$1:$A$49,products!$B$1:$B$49,,0)</f>
        <v>Exc</v>
      </c>
      <c r="J112" t="str">
        <f>_xlfn.XLOOKUP(D112,products!$A$1:$A$49,products!$C$1:$C$49,,0)</f>
        <v>L</v>
      </c>
      <c r="K112" s="13">
        <f>_xlfn.XLOOKUP(D112,products!$A$1:$A$49,products!$D$1:$D$49,,0)</f>
        <v>0.2</v>
      </c>
      <c r="L112" s="5">
        <f>_xlfn.XLOOKUP(D112,products!$A$1:$A$49,products!$E$1:$E$49,,0)</f>
        <v>4.4550000000000001</v>
      </c>
      <c r="M112">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_xlfn.XLOOKUP(orders!D113,products!$A$1:$A$49,products!$B$1:$B$49,,0)</f>
        <v>Rob</v>
      </c>
      <c r="J113" t="str">
        <f>_xlfn.XLOOKUP(D113,products!$A$1:$A$49,products!$C$1:$C$49,,0)</f>
        <v>D</v>
      </c>
      <c r="K113" s="13">
        <f>_xlfn.XLOOKUP(D113,products!$A$1:$A$49,products!$D$1:$D$49,,0)</f>
        <v>0.5</v>
      </c>
      <c r="L113" s="5">
        <f>_xlfn.XLOOKUP(D113,products!$A$1:$A$49,products!$E$1:$E$49,,0)</f>
        <v>5.3699999999999992</v>
      </c>
      <c r="M113">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_xlfn.XLOOKUP(orders!D114,products!$A$1:$A$49,products!$B$1:$B$49,,0)</f>
        <v>Ara</v>
      </c>
      <c r="J114" t="str">
        <f>_xlfn.XLOOKUP(D114,products!$A$1:$A$49,products!$C$1:$C$49,,0)</f>
        <v>M</v>
      </c>
      <c r="K114" s="13">
        <f>_xlfn.XLOOKUP(D114,products!$A$1:$A$49,products!$D$1:$D$49,,0)</f>
        <v>1</v>
      </c>
      <c r="L114" s="5">
        <f>_xlfn.XLOOKUP(D114,products!$A$1:$A$49,products!$E$1:$E$49,,0)</f>
        <v>11.25</v>
      </c>
      <c r="M114">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_xlfn.XLOOKUP(orders!D115,products!$A$1:$A$49,products!$B$1:$B$49,,0)</f>
        <v>Lib</v>
      </c>
      <c r="J115" t="str">
        <f>_xlfn.XLOOKUP(D115,products!$A$1:$A$49,products!$C$1:$C$49,,0)</f>
        <v>M</v>
      </c>
      <c r="K115" s="13">
        <f>_xlfn.XLOOKUP(D115,products!$A$1:$A$49,products!$D$1:$D$49,,0)</f>
        <v>1</v>
      </c>
      <c r="L115" s="5">
        <f>_xlfn.XLOOKUP(D115,products!$A$1:$A$49,products!$E$1:$E$49,,0)</f>
        <v>14.55</v>
      </c>
      <c r="M11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_xlfn.XLOOKUP(orders!D116,products!$A$1:$A$49,products!$B$1:$B$49,,0)</f>
        <v>Rob</v>
      </c>
      <c r="J116" t="str">
        <f>_xlfn.XLOOKUP(D116,products!$A$1:$A$49,products!$C$1:$C$49,,0)</f>
        <v>L</v>
      </c>
      <c r="K116" s="13">
        <f>_xlfn.XLOOKUP(D116,products!$A$1:$A$49,products!$D$1:$D$49,,0)</f>
        <v>0.2</v>
      </c>
      <c r="L116" s="5">
        <f>_xlfn.XLOOKUP(D116,products!$A$1:$A$49,products!$E$1:$E$49,,0)</f>
        <v>3.5849999999999995</v>
      </c>
      <c r="M116">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_xlfn.XLOOKUP(orders!D117,products!$A$1:$A$49,products!$B$1:$B$49,,0)</f>
        <v>Lib</v>
      </c>
      <c r="J117" t="str">
        <f>_xlfn.XLOOKUP(D117,products!$A$1:$A$49,products!$C$1:$C$49,,0)</f>
        <v>L</v>
      </c>
      <c r="K117" s="13">
        <f>_xlfn.XLOOKUP(D117,products!$A$1:$A$49,products!$D$1:$D$49,,0)</f>
        <v>1</v>
      </c>
      <c r="L117" s="5">
        <f>_xlfn.XLOOKUP(D117,products!$A$1:$A$49,products!$E$1:$E$49,,0)</f>
        <v>15.85</v>
      </c>
      <c r="M117">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_xlfn.XLOOKUP(orders!D118,products!$A$1:$A$49,products!$B$1:$B$49,,0)</f>
        <v>Lib</v>
      </c>
      <c r="J118" t="str">
        <f>_xlfn.XLOOKUP(D118,products!$A$1:$A$49,products!$C$1:$C$49,,0)</f>
        <v>L</v>
      </c>
      <c r="K118" s="13">
        <f>_xlfn.XLOOKUP(D118,products!$A$1:$A$49,products!$D$1:$D$49,,0)</f>
        <v>0.2</v>
      </c>
      <c r="L118" s="5">
        <f>_xlfn.XLOOKUP(D118,products!$A$1:$A$49,products!$E$1:$E$49,,0)</f>
        <v>4.7549999999999999</v>
      </c>
      <c r="M118">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_xlfn.XLOOKUP(orders!D119,products!$A$1:$A$49,products!$B$1:$B$49,,0)</f>
        <v>Lib</v>
      </c>
      <c r="J119" t="str">
        <f>_xlfn.XLOOKUP(D119,products!$A$1:$A$49,products!$C$1:$C$49,,0)</f>
        <v>L</v>
      </c>
      <c r="K119" s="13">
        <f>_xlfn.XLOOKUP(D119,products!$A$1:$A$49,products!$D$1:$D$49,,0)</f>
        <v>0.5</v>
      </c>
      <c r="L119" s="5">
        <f>_xlfn.XLOOKUP(D119,products!$A$1:$A$49,products!$E$1:$E$49,,0)</f>
        <v>9.51</v>
      </c>
      <c r="M119">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_xlfn.XLOOKUP(orders!D120,products!$A$1:$A$49,products!$B$1:$B$49,,0)</f>
        <v>Exc</v>
      </c>
      <c r="J120" t="str">
        <f>_xlfn.XLOOKUP(D120,products!$A$1:$A$49,products!$C$1:$C$49,,0)</f>
        <v>D</v>
      </c>
      <c r="K120" s="13">
        <f>_xlfn.XLOOKUP(D120,products!$A$1:$A$49,products!$D$1:$D$49,,0)</f>
        <v>0.5</v>
      </c>
      <c r="L120" s="5">
        <f>_xlfn.XLOOKUP(D120,products!$A$1:$A$49,products!$E$1:$E$49,,0)</f>
        <v>7.29</v>
      </c>
      <c r="M120">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_xlfn.XLOOKUP(orders!D121,products!$A$1:$A$49,products!$B$1:$B$49,,0)</f>
        <v>Exc</v>
      </c>
      <c r="J121" t="str">
        <f>_xlfn.XLOOKUP(D121,products!$A$1:$A$49,products!$C$1:$C$49,,0)</f>
        <v>M</v>
      </c>
      <c r="K121" s="13">
        <f>_xlfn.XLOOKUP(D121,products!$A$1:$A$49,products!$D$1:$D$49,,0)</f>
        <v>0.2</v>
      </c>
      <c r="L121" s="5">
        <f>_xlfn.XLOOKUP(D121,products!$A$1:$A$49,products!$E$1:$E$49,,0)</f>
        <v>4.125</v>
      </c>
      <c r="M121">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_xlfn.XLOOKUP(orders!D122,products!$A$1:$A$49,products!$B$1:$B$49,,0)</f>
        <v>Ara</v>
      </c>
      <c r="J122" t="str">
        <f>_xlfn.XLOOKUP(D122,products!$A$1:$A$49,products!$C$1:$C$49,,0)</f>
        <v>L</v>
      </c>
      <c r="K122" s="13">
        <f>_xlfn.XLOOKUP(D122,products!$A$1:$A$49,products!$D$1:$D$49,,0)</f>
        <v>0.2</v>
      </c>
      <c r="L122" s="5">
        <f>_xlfn.XLOOKUP(D122,products!$A$1:$A$49,products!$E$1:$E$49,,0)</f>
        <v>3.8849999999999998</v>
      </c>
      <c r="M122">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_xlfn.XLOOKUP(orders!D123,products!$A$1:$A$49,products!$B$1:$B$49,,0)</f>
        <v>Exc</v>
      </c>
      <c r="J123" t="str">
        <f>_xlfn.XLOOKUP(D123,products!$A$1:$A$49,products!$C$1:$C$49,,0)</f>
        <v>M</v>
      </c>
      <c r="K123" s="13">
        <f>_xlfn.XLOOKUP(D123,products!$A$1:$A$49,products!$D$1:$D$49,,0)</f>
        <v>1</v>
      </c>
      <c r="L123" s="5">
        <f>_xlfn.XLOOKUP(D123,products!$A$1:$A$49,products!$E$1:$E$49,,0)</f>
        <v>13.75</v>
      </c>
      <c r="M123">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_xlfn.XLOOKUP(orders!D124,products!$A$1:$A$49,products!$B$1:$B$49,,0)</f>
        <v>Ara</v>
      </c>
      <c r="J124" t="str">
        <f>_xlfn.XLOOKUP(D124,products!$A$1:$A$49,products!$C$1:$C$49,,0)</f>
        <v>D</v>
      </c>
      <c r="K124" s="13">
        <f>_xlfn.XLOOKUP(D124,products!$A$1:$A$49,products!$D$1:$D$49,,0)</f>
        <v>0.5</v>
      </c>
      <c r="L124" s="5">
        <f>_xlfn.XLOOKUP(D124,products!$A$1:$A$49,products!$E$1:$E$49,,0)</f>
        <v>5.97</v>
      </c>
      <c r="M124">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_xlfn.XLOOKUP(orders!D125,products!$A$1:$A$49,products!$B$1:$B$49,,0)</f>
        <v>Lib</v>
      </c>
      <c r="J125" t="str">
        <f>_xlfn.XLOOKUP(D125,products!$A$1:$A$49,products!$C$1:$C$49,,0)</f>
        <v>L</v>
      </c>
      <c r="K125" s="13">
        <f>_xlfn.XLOOKUP(D125,products!$A$1:$A$49,products!$D$1:$D$49,,0)</f>
        <v>2.5</v>
      </c>
      <c r="L125" s="5">
        <f>_xlfn.XLOOKUP(D125,products!$A$1:$A$49,products!$E$1:$E$49,,0)</f>
        <v>36.454999999999998</v>
      </c>
      <c r="M12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_xlfn.XLOOKUP(orders!D126,products!$A$1:$A$49,products!$B$1:$B$49,,0)</f>
        <v>Lib</v>
      </c>
      <c r="J126" t="str">
        <f>_xlfn.XLOOKUP(D126,products!$A$1:$A$49,products!$C$1:$C$49,,0)</f>
        <v>M</v>
      </c>
      <c r="K126" s="13">
        <f>_xlfn.XLOOKUP(D126,products!$A$1:$A$49,products!$D$1:$D$49,,0)</f>
        <v>0.2</v>
      </c>
      <c r="L126" s="5">
        <f>_xlfn.XLOOKUP(D126,products!$A$1:$A$49,products!$E$1:$E$49,,0)</f>
        <v>4.3650000000000002</v>
      </c>
      <c r="M126">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_xlfn.XLOOKUP(orders!D127,products!$A$1:$A$49,products!$B$1:$B$49,,0)</f>
        <v>Lib</v>
      </c>
      <c r="J127" t="str">
        <f>_xlfn.XLOOKUP(D127,products!$A$1:$A$49,products!$C$1:$C$49,,0)</f>
        <v>M</v>
      </c>
      <c r="K127" s="13">
        <f>_xlfn.XLOOKUP(D127,products!$A$1:$A$49,products!$D$1:$D$49,,0)</f>
        <v>0.5</v>
      </c>
      <c r="L127" s="5">
        <f>_xlfn.XLOOKUP(D127,products!$A$1:$A$49,products!$E$1:$E$49,,0)</f>
        <v>8.73</v>
      </c>
      <c r="M127">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_xlfn.XLOOKUP(orders!D128,products!$A$1:$A$49,products!$B$1:$B$49,,0)</f>
        <v>Ara</v>
      </c>
      <c r="J128" t="str">
        <f>_xlfn.XLOOKUP(D128,products!$A$1:$A$49,products!$C$1:$C$49,,0)</f>
        <v>M</v>
      </c>
      <c r="K128" s="13">
        <f>_xlfn.XLOOKUP(D128,products!$A$1:$A$49,products!$D$1:$D$49,,0)</f>
        <v>1</v>
      </c>
      <c r="L128" s="5">
        <f>_xlfn.XLOOKUP(D128,products!$A$1:$A$49,products!$E$1:$E$49,,0)</f>
        <v>11.25</v>
      </c>
      <c r="M128">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_xlfn.XLOOKUP(orders!D129,products!$A$1:$A$49,products!$B$1:$B$49,,0)</f>
        <v>Lib</v>
      </c>
      <c r="J129" t="str">
        <f>_xlfn.XLOOKUP(D129,products!$A$1:$A$49,products!$C$1:$C$49,,0)</f>
        <v>D</v>
      </c>
      <c r="K129" s="13">
        <f>_xlfn.XLOOKUP(D129,products!$A$1:$A$49,products!$D$1:$D$49,,0)</f>
        <v>1</v>
      </c>
      <c r="L129" s="5">
        <f>_xlfn.XLOOKUP(D129,products!$A$1:$A$49,products!$E$1:$E$49,,0)</f>
        <v>12.95</v>
      </c>
      <c r="M129">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_xlfn.XLOOKUP(orders!D130,products!$A$1:$A$49,products!$B$1:$B$49,,0)</f>
        <v>Ara</v>
      </c>
      <c r="J130" t="str">
        <f>_xlfn.XLOOKUP(D130,products!$A$1:$A$49,products!$C$1:$C$49,,0)</f>
        <v>M</v>
      </c>
      <c r="K130" s="13">
        <f>_xlfn.XLOOKUP(D130,products!$A$1:$A$49,products!$D$1:$D$49,,0)</f>
        <v>0.5</v>
      </c>
      <c r="L130" s="5">
        <f>_xlfn.XLOOKUP(D130,products!$A$1:$A$49,products!$E$1:$E$49,,0)</f>
        <v>6.75</v>
      </c>
      <c r="M130">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_xlfn.XLOOKUP(orders!D131,products!$A$1:$A$49,products!$B$1:$B$49,,0)</f>
        <v>Exc</v>
      </c>
      <c r="J131" t="str">
        <f>_xlfn.XLOOKUP(D131,products!$A$1:$A$49,products!$C$1:$C$49,,0)</f>
        <v>D</v>
      </c>
      <c r="K131" s="13">
        <f>_xlfn.XLOOKUP(D131,products!$A$1:$A$49,products!$D$1:$D$49,,0)</f>
        <v>1</v>
      </c>
      <c r="L131" s="5">
        <f>_xlfn.XLOOKUP(D131,products!$A$1:$A$49,products!$E$1:$E$49,,0)</f>
        <v>12.15</v>
      </c>
      <c r="M131">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_xlfn.XLOOKUP(orders!D132,products!$A$1:$A$49,products!$B$1:$B$49,,0)</f>
        <v>Ara</v>
      </c>
      <c r="J132" t="str">
        <f>_xlfn.XLOOKUP(D132,products!$A$1:$A$49,products!$C$1:$C$49,,0)</f>
        <v>L</v>
      </c>
      <c r="K132" s="13">
        <f>_xlfn.XLOOKUP(D132,products!$A$1:$A$49,products!$D$1:$D$49,,0)</f>
        <v>2.5</v>
      </c>
      <c r="L132" s="5">
        <f>_xlfn.XLOOKUP(D132,products!$A$1:$A$49,products!$E$1:$E$49,,0)</f>
        <v>29.784999999999997</v>
      </c>
      <c r="M132">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_xlfn.XLOOKUP(orders!D133,products!$A$1:$A$49,products!$B$1:$B$49,,0)</f>
        <v>Exc</v>
      </c>
      <c r="J133" t="str">
        <f>_xlfn.XLOOKUP(D133,products!$A$1:$A$49,products!$C$1:$C$49,,0)</f>
        <v>D</v>
      </c>
      <c r="K133" s="13">
        <f>_xlfn.XLOOKUP(D133,products!$A$1:$A$49,products!$D$1:$D$49,,0)</f>
        <v>0.5</v>
      </c>
      <c r="L133" s="5">
        <f>_xlfn.XLOOKUP(D133,products!$A$1:$A$49,products!$E$1:$E$49,,0)</f>
        <v>7.29</v>
      </c>
      <c r="M133">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_xlfn.XLOOKUP(orders!D134,products!$A$1:$A$49,products!$B$1:$B$49,,0)</f>
        <v>Ara</v>
      </c>
      <c r="J134" t="str">
        <f>_xlfn.XLOOKUP(D134,products!$A$1:$A$49,products!$C$1:$C$49,,0)</f>
        <v>L</v>
      </c>
      <c r="K134" s="13">
        <f>_xlfn.XLOOKUP(D134,products!$A$1:$A$49,products!$D$1:$D$49,,0)</f>
        <v>2.5</v>
      </c>
      <c r="L134" s="5">
        <f>_xlfn.XLOOKUP(D134,products!$A$1:$A$49,products!$E$1:$E$49,,0)</f>
        <v>29.784999999999997</v>
      </c>
      <c r="M134">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_xlfn.XLOOKUP(orders!D135,products!$A$1:$A$49,products!$B$1:$B$49,,0)</f>
        <v>Lib</v>
      </c>
      <c r="J135" t="str">
        <f>_xlfn.XLOOKUP(D135,products!$A$1:$A$49,products!$C$1:$C$49,,0)</f>
        <v>D</v>
      </c>
      <c r="K135" s="13">
        <f>_xlfn.XLOOKUP(D135,products!$A$1:$A$49,products!$D$1:$D$49,,0)</f>
        <v>1</v>
      </c>
      <c r="L135" s="5">
        <f>_xlfn.XLOOKUP(D135,products!$A$1:$A$49,products!$E$1:$E$49,,0)</f>
        <v>12.95</v>
      </c>
      <c r="M13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_xlfn.XLOOKUP(orders!D136,products!$A$1:$A$49,products!$B$1:$B$49,,0)</f>
        <v>Exc</v>
      </c>
      <c r="J136" t="str">
        <f>_xlfn.XLOOKUP(D136,products!$A$1:$A$49,products!$C$1:$C$49,,0)</f>
        <v>M</v>
      </c>
      <c r="K136" s="13">
        <f>_xlfn.XLOOKUP(D136,products!$A$1:$A$49,products!$D$1:$D$49,,0)</f>
        <v>2.5</v>
      </c>
      <c r="L136" s="5">
        <f>_xlfn.XLOOKUP(D136,products!$A$1:$A$49,products!$E$1:$E$49,,0)</f>
        <v>31.624999999999996</v>
      </c>
      <c r="M136">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_xlfn.XLOOKUP(orders!D137,products!$A$1:$A$49,products!$B$1:$B$49,,0)</f>
        <v>Ara</v>
      </c>
      <c r="J137" t="str">
        <f>_xlfn.XLOOKUP(D137,products!$A$1:$A$49,products!$C$1:$C$49,,0)</f>
        <v>L</v>
      </c>
      <c r="K137" s="13">
        <f>_xlfn.XLOOKUP(D137,products!$A$1:$A$49,products!$D$1:$D$49,,0)</f>
        <v>0.5</v>
      </c>
      <c r="L137" s="5">
        <f>_xlfn.XLOOKUP(D137,products!$A$1:$A$49,products!$E$1:$E$49,,0)</f>
        <v>7.77</v>
      </c>
      <c r="M137">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_xlfn.XLOOKUP(orders!D138,products!$A$1:$A$49,products!$B$1:$B$49,,0)</f>
        <v>Ara</v>
      </c>
      <c r="J138" t="str">
        <f>_xlfn.XLOOKUP(D138,products!$A$1:$A$49,products!$C$1:$C$49,,0)</f>
        <v>D</v>
      </c>
      <c r="K138" s="13">
        <f>_xlfn.XLOOKUP(D138,products!$A$1:$A$49,products!$D$1:$D$49,,0)</f>
        <v>0.2</v>
      </c>
      <c r="L138" s="5">
        <f>_xlfn.XLOOKUP(D138,products!$A$1:$A$49,products!$E$1:$E$49,,0)</f>
        <v>2.9849999999999999</v>
      </c>
      <c r="M138">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_xlfn.XLOOKUP(orders!D139,products!$A$1:$A$49,products!$B$1:$B$49,,0)</f>
        <v>Exc</v>
      </c>
      <c r="J139" t="str">
        <f>_xlfn.XLOOKUP(D139,products!$A$1:$A$49,products!$C$1:$C$49,,0)</f>
        <v>L</v>
      </c>
      <c r="K139" s="13">
        <f>_xlfn.XLOOKUP(D139,products!$A$1:$A$49,products!$D$1:$D$49,,0)</f>
        <v>2.5</v>
      </c>
      <c r="L139" s="5">
        <f>_xlfn.XLOOKUP(D139,products!$A$1:$A$49,products!$E$1:$E$49,,0)</f>
        <v>34.154999999999994</v>
      </c>
      <c r="M139">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_xlfn.XLOOKUP(orders!D140,products!$A$1:$A$49,products!$B$1:$B$49,,0)</f>
        <v>Exc</v>
      </c>
      <c r="J140" t="str">
        <f>_xlfn.XLOOKUP(D140,products!$A$1:$A$49,products!$C$1:$C$49,,0)</f>
        <v>D</v>
      </c>
      <c r="K140" s="13">
        <f>_xlfn.XLOOKUP(D140,products!$A$1:$A$49,products!$D$1:$D$49,,0)</f>
        <v>1</v>
      </c>
      <c r="L140" s="5">
        <f>_xlfn.XLOOKUP(D140,products!$A$1:$A$49,products!$E$1:$E$49,,0)</f>
        <v>12.15</v>
      </c>
      <c r="M140">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_xlfn.XLOOKUP(orders!D141,products!$A$1:$A$49,products!$B$1:$B$49,,0)</f>
        <v>Lib</v>
      </c>
      <c r="J141" t="str">
        <f>_xlfn.XLOOKUP(D141,products!$A$1:$A$49,products!$C$1:$C$49,,0)</f>
        <v>D</v>
      </c>
      <c r="K141" s="13">
        <f>_xlfn.XLOOKUP(D141,products!$A$1:$A$49,products!$D$1:$D$49,,0)</f>
        <v>1</v>
      </c>
      <c r="L141" s="5">
        <f>_xlfn.XLOOKUP(D141,products!$A$1:$A$49,products!$E$1:$E$49,,0)</f>
        <v>12.95</v>
      </c>
      <c r="M141">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_xlfn.XLOOKUP(orders!D142,products!$A$1:$A$49,products!$B$1:$B$49,,0)</f>
        <v>Lib</v>
      </c>
      <c r="J142" t="str">
        <f>_xlfn.XLOOKUP(D142,products!$A$1:$A$49,products!$C$1:$C$49,,0)</f>
        <v>D</v>
      </c>
      <c r="K142" s="13">
        <f>_xlfn.XLOOKUP(D142,products!$A$1:$A$49,products!$D$1:$D$49,,0)</f>
        <v>2.5</v>
      </c>
      <c r="L142" s="5">
        <f>_xlfn.XLOOKUP(D142,products!$A$1:$A$49,products!$E$1:$E$49,,0)</f>
        <v>29.784999999999997</v>
      </c>
      <c r="M142">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_xlfn.XLOOKUP(orders!D143,products!$A$1:$A$49,products!$B$1:$B$49,,0)</f>
        <v>Ara</v>
      </c>
      <c r="J143" t="str">
        <f>_xlfn.XLOOKUP(D143,products!$A$1:$A$49,products!$C$1:$C$49,,0)</f>
        <v>L</v>
      </c>
      <c r="K143" s="13">
        <f>_xlfn.XLOOKUP(D143,products!$A$1:$A$49,products!$D$1:$D$49,,0)</f>
        <v>0.2</v>
      </c>
      <c r="L143" s="5">
        <f>_xlfn.XLOOKUP(D143,products!$A$1:$A$49,products!$E$1:$E$49,,0)</f>
        <v>3.8849999999999998</v>
      </c>
      <c r="M143">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_xlfn.XLOOKUP(orders!D144,products!$A$1:$A$49,products!$B$1:$B$49,,0)</f>
        <v>Exc</v>
      </c>
      <c r="J144" t="str">
        <f>_xlfn.XLOOKUP(D144,products!$A$1:$A$49,products!$C$1:$C$49,,0)</f>
        <v>L</v>
      </c>
      <c r="K144" s="13">
        <f>_xlfn.XLOOKUP(D144,products!$A$1:$A$49,products!$D$1:$D$49,,0)</f>
        <v>2.5</v>
      </c>
      <c r="L144" s="5">
        <f>_xlfn.XLOOKUP(D144,products!$A$1:$A$49,products!$E$1:$E$49,,0)</f>
        <v>34.154999999999994</v>
      </c>
      <c r="M144">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_xlfn.XLOOKUP(orders!D145,products!$A$1:$A$49,products!$B$1:$B$49,,0)</f>
        <v>Lib</v>
      </c>
      <c r="J145" t="str">
        <f>_xlfn.XLOOKUP(D145,products!$A$1:$A$49,products!$C$1:$C$49,,0)</f>
        <v>M</v>
      </c>
      <c r="K145" s="13">
        <f>_xlfn.XLOOKUP(D145,products!$A$1:$A$49,products!$D$1:$D$49,,0)</f>
        <v>0.5</v>
      </c>
      <c r="L145" s="5">
        <f>_xlfn.XLOOKUP(D145,products!$A$1:$A$49,products!$E$1:$E$49,,0)</f>
        <v>8.73</v>
      </c>
      <c r="M14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_xlfn.XLOOKUP(orders!D146,products!$A$1:$A$49,products!$B$1:$B$49,,0)</f>
        <v>Exc</v>
      </c>
      <c r="J146" t="str">
        <f>_xlfn.XLOOKUP(D146,products!$A$1:$A$49,products!$C$1:$C$49,,0)</f>
        <v>L</v>
      </c>
      <c r="K146" s="13">
        <f>_xlfn.XLOOKUP(D146,products!$A$1:$A$49,products!$D$1:$D$49,,0)</f>
        <v>2.5</v>
      </c>
      <c r="L146" s="5">
        <f>_xlfn.XLOOKUP(D146,products!$A$1:$A$49,products!$E$1:$E$49,,0)</f>
        <v>34.154999999999994</v>
      </c>
      <c r="M146">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_xlfn.XLOOKUP(orders!D147,products!$A$1:$A$49,products!$B$1:$B$49,,0)</f>
        <v>Lib</v>
      </c>
      <c r="J147" t="str">
        <f>_xlfn.XLOOKUP(D147,products!$A$1:$A$49,products!$C$1:$C$49,,0)</f>
        <v>M</v>
      </c>
      <c r="K147" s="13">
        <f>_xlfn.XLOOKUP(D147,products!$A$1:$A$49,products!$D$1:$D$49,,0)</f>
        <v>0.2</v>
      </c>
      <c r="L147" s="5">
        <f>_xlfn.XLOOKUP(D147,products!$A$1:$A$49,products!$E$1:$E$49,,0)</f>
        <v>4.3650000000000002</v>
      </c>
      <c r="M147">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_xlfn.XLOOKUP(orders!D148,products!$A$1:$A$49,products!$B$1:$B$49,,0)</f>
        <v>Lib</v>
      </c>
      <c r="J148" t="str">
        <f>_xlfn.XLOOKUP(D148,products!$A$1:$A$49,products!$C$1:$C$49,,0)</f>
        <v>M</v>
      </c>
      <c r="K148" s="13">
        <f>_xlfn.XLOOKUP(D148,products!$A$1:$A$49,products!$D$1:$D$49,,0)</f>
        <v>1</v>
      </c>
      <c r="L148" s="5">
        <f>_xlfn.XLOOKUP(D148,products!$A$1:$A$49,products!$E$1:$E$49,,0)</f>
        <v>14.55</v>
      </c>
      <c r="M148">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_xlfn.XLOOKUP(orders!D149,products!$A$1:$A$49,products!$B$1:$B$49,,0)</f>
        <v>Exc</v>
      </c>
      <c r="J149" t="str">
        <f>_xlfn.XLOOKUP(D149,products!$A$1:$A$49,products!$C$1:$C$49,,0)</f>
        <v>M</v>
      </c>
      <c r="K149" s="13">
        <f>_xlfn.XLOOKUP(D149,products!$A$1:$A$49,products!$D$1:$D$49,,0)</f>
        <v>1</v>
      </c>
      <c r="L149" s="5">
        <f>_xlfn.XLOOKUP(D149,products!$A$1:$A$49,products!$E$1:$E$49,,0)</f>
        <v>13.75</v>
      </c>
      <c r="M149">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_xlfn.XLOOKUP(orders!D150,products!$A$1:$A$49,products!$B$1:$B$49,,0)</f>
        <v>Exc</v>
      </c>
      <c r="J150" t="str">
        <f>_xlfn.XLOOKUP(D150,products!$A$1:$A$49,products!$C$1:$C$49,,0)</f>
        <v>D</v>
      </c>
      <c r="K150" s="13">
        <f>_xlfn.XLOOKUP(D150,products!$A$1:$A$49,products!$D$1:$D$49,,0)</f>
        <v>0.2</v>
      </c>
      <c r="L150" s="5">
        <f>_xlfn.XLOOKUP(D150,products!$A$1:$A$49,products!$E$1:$E$49,,0)</f>
        <v>3.645</v>
      </c>
      <c r="M150">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_xlfn.XLOOKUP(orders!D151,products!$A$1:$A$49,products!$B$1:$B$49,,0)</f>
        <v>Ara</v>
      </c>
      <c r="J151" t="str">
        <f>_xlfn.XLOOKUP(D151,products!$A$1:$A$49,products!$C$1:$C$49,,0)</f>
        <v>M</v>
      </c>
      <c r="K151" s="13">
        <f>_xlfn.XLOOKUP(D151,products!$A$1:$A$49,products!$D$1:$D$49,,0)</f>
        <v>2.5</v>
      </c>
      <c r="L151" s="5">
        <f>_xlfn.XLOOKUP(D151,products!$A$1:$A$49,products!$E$1:$E$49,,0)</f>
        <v>25.874999999999996</v>
      </c>
      <c r="M151">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_xlfn.XLOOKUP(orders!D152,products!$A$1:$A$49,products!$B$1:$B$49,,0)</f>
        <v>Lib</v>
      </c>
      <c r="J152" t="str">
        <f>_xlfn.XLOOKUP(D152,products!$A$1:$A$49,products!$C$1:$C$49,,0)</f>
        <v>D</v>
      </c>
      <c r="K152" s="13">
        <f>_xlfn.XLOOKUP(D152,products!$A$1:$A$49,products!$D$1:$D$49,,0)</f>
        <v>1</v>
      </c>
      <c r="L152" s="5">
        <f>_xlfn.XLOOKUP(D152,products!$A$1:$A$49,products!$E$1:$E$49,,0)</f>
        <v>12.95</v>
      </c>
      <c r="M152">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_xlfn.XLOOKUP(orders!D153,products!$A$1:$A$49,products!$B$1:$B$49,,0)</f>
        <v>Ara</v>
      </c>
      <c r="J153" t="str">
        <f>_xlfn.XLOOKUP(D153,products!$A$1:$A$49,products!$C$1:$C$49,,0)</f>
        <v>M</v>
      </c>
      <c r="K153" s="13">
        <f>_xlfn.XLOOKUP(D153,products!$A$1:$A$49,products!$D$1:$D$49,,0)</f>
        <v>1</v>
      </c>
      <c r="L153" s="5">
        <f>_xlfn.XLOOKUP(D153,products!$A$1:$A$49,products!$E$1:$E$49,,0)</f>
        <v>11.25</v>
      </c>
      <c r="M153">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_xlfn.XLOOKUP(orders!D154,products!$A$1:$A$49,products!$B$1:$B$49,,0)</f>
        <v>Rob</v>
      </c>
      <c r="J154" t="str">
        <f>_xlfn.XLOOKUP(D154,products!$A$1:$A$49,products!$C$1:$C$49,,0)</f>
        <v>M</v>
      </c>
      <c r="K154" s="13">
        <f>_xlfn.XLOOKUP(D154,products!$A$1:$A$49,products!$D$1:$D$49,,0)</f>
        <v>2.5</v>
      </c>
      <c r="L154" s="5">
        <f>_xlfn.XLOOKUP(D154,products!$A$1:$A$49,products!$E$1:$E$49,,0)</f>
        <v>22.884999999999998</v>
      </c>
      <c r="M154">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_xlfn.XLOOKUP(orders!D155,products!$A$1:$A$49,products!$B$1:$B$49,,0)</f>
        <v>Rob</v>
      </c>
      <c r="J155" t="str">
        <f>_xlfn.XLOOKUP(D155,products!$A$1:$A$49,products!$C$1:$C$49,,0)</f>
        <v>D</v>
      </c>
      <c r="K155" s="13">
        <f>_xlfn.XLOOKUP(D155,products!$A$1:$A$49,products!$D$1:$D$49,,0)</f>
        <v>0.2</v>
      </c>
      <c r="L155" s="5">
        <f>_xlfn.XLOOKUP(D155,products!$A$1:$A$49,products!$E$1:$E$49,,0)</f>
        <v>2.6849999999999996</v>
      </c>
      <c r="M15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_xlfn.XLOOKUP(orders!D156,products!$A$1:$A$49,products!$B$1:$B$49,,0)</f>
        <v>Ara</v>
      </c>
      <c r="J156" t="str">
        <f>_xlfn.XLOOKUP(D156,products!$A$1:$A$49,products!$C$1:$C$49,,0)</f>
        <v>D</v>
      </c>
      <c r="K156" s="13">
        <f>_xlfn.XLOOKUP(D156,products!$A$1:$A$49,products!$D$1:$D$49,,0)</f>
        <v>2.5</v>
      </c>
      <c r="L156" s="5">
        <f>_xlfn.XLOOKUP(D156,products!$A$1:$A$49,products!$E$1:$E$49,,0)</f>
        <v>22.884999999999998</v>
      </c>
      <c r="M156">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_xlfn.XLOOKUP(orders!D157,products!$A$1:$A$49,products!$B$1:$B$49,,0)</f>
        <v>Ara</v>
      </c>
      <c r="J157" t="str">
        <f>_xlfn.XLOOKUP(D157,products!$A$1:$A$49,products!$C$1:$C$49,,0)</f>
        <v>M</v>
      </c>
      <c r="K157" s="13">
        <f>_xlfn.XLOOKUP(D157,products!$A$1:$A$49,products!$D$1:$D$49,,0)</f>
        <v>2.5</v>
      </c>
      <c r="L157" s="5">
        <f>_xlfn.XLOOKUP(D157,products!$A$1:$A$49,products!$E$1:$E$49,,0)</f>
        <v>25.874999999999996</v>
      </c>
      <c r="M157">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_xlfn.XLOOKUP(orders!D158,products!$A$1:$A$49,products!$B$1:$B$49,,0)</f>
        <v>Ara</v>
      </c>
      <c r="J158" t="str">
        <f>_xlfn.XLOOKUP(D158,products!$A$1:$A$49,products!$C$1:$C$49,,0)</f>
        <v>M</v>
      </c>
      <c r="K158" s="13">
        <f>_xlfn.XLOOKUP(D158,products!$A$1:$A$49,products!$D$1:$D$49,,0)</f>
        <v>2.5</v>
      </c>
      <c r="L158" s="5">
        <f>_xlfn.XLOOKUP(D158,products!$A$1:$A$49,products!$E$1:$E$49,,0)</f>
        <v>25.874999999999996</v>
      </c>
      <c r="M158">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_xlfn.XLOOKUP(orders!D159,products!$A$1:$A$49,products!$B$1:$B$49,,0)</f>
        <v>Rob</v>
      </c>
      <c r="J159" t="str">
        <f>_xlfn.XLOOKUP(D159,products!$A$1:$A$49,products!$C$1:$C$49,,0)</f>
        <v>D</v>
      </c>
      <c r="K159" s="13">
        <f>_xlfn.XLOOKUP(D159,products!$A$1:$A$49,products!$D$1:$D$49,,0)</f>
        <v>2.5</v>
      </c>
      <c r="L159" s="5">
        <f>_xlfn.XLOOKUP(D159,products!$A$1:$A$49,products!$E$1:$E$49,,0)</f>
        <v>20.584999999999997</v>
      </c>
      <c r="M159">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_xlfn.XLOOKUP(orders!D160,products!$A$1:$A$49,products!$B$1:$B$49,,0)</f>
        <v>Rob</v>
      </c>
      <c r="J160" t="str">
        <f>_xlfn.XLOOKUP(D160,products!$A$1:$A$49,products!$C$1:$C$49,,0)</f>
        <v>D</v>
      </c>
      <c r="K160" s="13">
        <f>_xlfn.XLOOKUP(D160,products!$A$1:$A$49,products!$D$1:$D$49,,0)</f>
        <v>2.5</v>
      </c>
      <c r="L160" s="5">
        <f>_xlfn.XLOOKUP(D160,products!$A$1:$A$49,products!$E$1:$E$49,,0)</f>
        <v>20.584999999999997</v>
      </c>
      <c r="M160">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_xlfn.XLOOKUP(orders!D161,products!$A$1:$A$49,products!$B$1:$B$49,,0)</f>
        <v>Lib</v>
      </c>
      <c r="J161" t="str">
        <f>_xlfn.XLOOKUP(D161,products!$A$1:$A$49,products!$C$1:$C$49,,0)</f>
        <v>L</v>
      </c>
      <c r="K161" s="13">
        <f>_xlfn.XLOOKUP(D161,products!$A$1:$A$49,products!$D$1:$D$49,,0)</f>
        <v>2.5</v>
      </c>
      <c r="L161" s="5">
        <f>_xlfn.XLOOKUP(D161,products!$A$1:$A$49,products!$E$1:$E$49,,0)</f>
        <v>36.454999999999998</v>
      </c>
      <c r="M161">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_xlfn.XLOOKUP(orders!D162,products!$A$1:$A$49,products!$B$1:$B$49,,0)</f>
        <v>Exc</v>
      </c>
      <c r="J162" t="str">
        <f>_xlfn.XLOOKUP(D162,products!$A$1:$A$49,products!$C$1:$C$49,,0)</f>
        <v>M</v>
      </c>
      <c r="K162" s="13">
        <f>_xlfn.XLOOKUP(D162,products!$A$1:$A$49,products!$D$1:$D$49,,0)</f>
        <v>0.5</v>
      </c>
      <c r="L162" s="5">
        <f>_xlfn.XLOOKUP(D162,products!$A$1:$A$49,products!$E$1:$E$49,,0)</f>
        <v>8.25</v>
      </c>
      <c r="M162">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_xlfn.XLOOKUP(orders!D163,products!$A$1:$A$49,products!$B$1:$B$49,,0)</f>
        <v>Ara</v>
      </c>
      <c r="J163" t="str">
        <f>_xlfn.XLOOKUP(D163,products!$A$1:$A$49,products!$C$1:$C$49,,0)</f>
        <v>L</v>
      </c>
      <c r="K163" s="13">
        <f>_xlfn.XLOOKUP(D163,products!$A$1:$A$49,products!$D$1:$D$49,,0)</f>
        <v>0.5</v>
      </c>
      <c r="L163" s="5">
        <f>_xlfn.XLOOKUP(D163,products!$A$1:$A$49,products!$E$1:$E$49,,0)</f>
        <v>7.77</v>
      </c>
      <c r="M163">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_xlfn.XLOOKUP(orders!D164,products!$A$1:$A$49,products!$B$1:$B$49,,0)</f>
        <v>Exc</v>
      </c>
      <c r="J164" t="str">
        <f>_xlfn.XLOOKUP(D164,products!$A$1:$A$49,products!$C$1:$C$49,,0)</f>
        <v>D</v>
      </c>
      <c r="K164" s="13">
        <f>_xlfn.XLOOKUP(D164,products!$A$1:$A$49,products!$D$1:$D$49,,0)</f>
        <v>0.5</v>
      </c>
      <c r="L164" s="5">
        <f>_xlfn.XLOOKUP(D164,products!$A$1:$A$49,products!$E$1:$E$49,,0)</f>
        <v>7.29</v>
      </c>
      <c r="M164">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_xlfn.XLOOKUP(orders!D165,products!$A$1:$A$49,products!$B$1:$B$49,,0)</f>
        <v>Rob</v>
      </c>
      <c r="J165" t="str">
        <f>_xlfn.XLOOKUP(D165,products!$A$1:$A$49,products!$C$1:$C$49,,0)</f>
        <v>D</v>
      </c>
      <c r="K165" s="13">
        <f>_xlfn.XLOOKUP(D165,products!$A$1:$A$49,products!$D$1:$D$49,,0)</f>
        <v>0.2</v>
      </c>
      <c r="L165" s="5">
        <f>_xlfn.XLOOKUP(D165,products!$A$1:$A$49,products!$E$1:$E$49,,0)</f>
        <v>2.6849999999999996</v>
      </c>
      <c r="M16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_xlfn.XLOOKUP(orders!D166,products!$A$1:$A$49,products!$B$1:$B$49,,0)</f>
        <v>Exc</v>
      </c>
      <c r="J166" t="str">
        <f>_xlfn.XLOOKUP(D166,products!$A$1:$A$49,products!$C$1:$C$49,,0)</f>
        <v>D</v>
      </c>
      <c r="K166" s="13">
        <f>_xlfn.XLOOKUP(D166,products!$A$1:$A$49,products!$D$1:$D$49,,0)</f>
        <v>0.5</v>
      </c>
      <c r="L166" s="5">
        <f>_xlfn.XLOOKUP(D166,products!$A$1:$A$49,products!$E$1:$E$49,,0)</f>
        <v>7.29</v>
      </c>
      <c r="M166">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_xlfn.XLOOKUP(orders!D167,products!$A$1:$A$49,products!$B$1:$B$49,,0)</f>
        <v>Rob</v>
      </c>
      <c r="J167" t="str">
        <f>_xlfn.XLOOKUP(D167,products!$A$1:$A$49,products!$C$1:$C$49,,0)</f>
        <v>D</v>
      </c>
      <c r="K167" s="13">
        <f>_xlfn.XLOOKUP(D167,products!$A$1:$A$49,products!$D$1:$D$49,,0)</f>
        <v>1</v>
      </c>
      <c r="L167" s="5">
        <f>_xlfn.XLOOKUP(D167,products!$A$1:$A$49,products!$E$1:$E$49,,0)</f>
        <v>8.9499999999999993</v>
      </c>
      <c r="M167">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_xlfn.XLOOKUP(orders!D168,products!$A$1:$A$49,products!$B$1:$B$49,,0)</f>
        <v>Rob</v>
      </c>
      <c r="J168" t="str">
        <f>_xlfn.XLOOKUP(D168,products!$A$1:$A$49,products!$C$1:$C$49,,0)</f>
        <v>D</v>
      </c>
      <c r="K168" s="13">
        <f>_xlfn.XLOOKUP(D168,products!$A$1:$A$49,products!$D$1:$D$49,,0)</f>
        <v>0.5</v>
      </c>
      <c r="L168" s="5">
        <f>_xlfn.XLOOKUP(D168,products!$A$1:$A$49,products!$E$1:$E$49,,0)</f>
        <v>5.3699999999999992</v>
      </c>
      <c r="M168">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_xlfn.XLOOKUP(orders!D169,products!$A$1:$A$49,products!$B$1:$B$49,,0)</f>
        <v>Exc</v>
      </c>
      <c r="J169" t="str">
        <f>_xlfn.XLOOKUP(D169,products!$A$1:$A$49,products!$C$1:$C$49,,0)</f>
        <v>M</v>
      </c>
      <c r="K169" s="13">
        <f>_xlfn.XLOOKUP(D169,products!$A$1:$A$49,products!$D$1:$D$49,,0)</f>
        <v>0.5</v>
      </c>
      <c r="L169" s="5">
        <f>_xlfn.XLOOKUP(D169,products!$A$1:$A$49,products!$E$1:$E$49,,0)</f>
        <v>8.25</v>
      </c>
      <c r="M169">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_xlfn.XLOOKUP(orders!D170,products!$A$1:$A$49,products!$B$1:$B$49,,0)</f>
        <v>Ara</v>
      </c>
      <c r="J170" t="str">
        <f>_xlfn.XLOOKUP(D170,products!$A$1:$A$49,products!$C$1:$C$49,,0)</f>
        <v>M</v>
      </c>
      <c r="K170" s="13">
        <f>_xlfn.XLOOKUP(D170,products!$A$1:$A$49,products!$D$1:$D$49,,0)</f>
        <v>0.5</v>
      </c>
      <c r="L170" s="5">
        <f>_xlfn.XLOOKUP(D170,products!$A$1:$A$49,products!$E$1:$E$49,,0)</f>
        <v>6.75</v>
      </c>
      <c r="M170">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_xlfn.XLOOKUP(orders!D171,products!$A$1:$A$49,products!$B$1:$B$49,,0)</f>
        <v>Rob</v>
      </c>
      <c r="J171" t="str">
        <f>_xlfn.XLOOKUP(D171,products!$A$1:$A$49,products!$C$1:$C$49,,0)</f>
        <v>D</v>
      </c>
      <c r="K171" s="13">
        <f>_xlfn.XLOOKUP(D171,products!$A$1:$A$49,products!$D$1:$D$49,,0)</f>
        <v>1</v>
      </c>
      <c r="L171" s="5">
        <f>_xlfn.XLOOKUP(D171,products!$A$1:$A$49,products!$E$1:$E$49,,0)</f>
        <v>8.9499999999999993</v>
      </c>
      <c r="M171">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_xlfn.XLOOKUP(orders!D172,products!$A$1:$A$49,products!$B$1:$B$49,,0)</f>
        <v>Exc</v>
      </c>
      <c r="J172" t="str">
        <f>_xlfn.XLOOKUP(D172,products!$A$1:$A$49,products!$C$1:$C$49,,0)</f>
        <v>L</v>
      </c>
      <c r="K172" s="13">
        <f>_xlfn.XLOOKUP(D172,products!$A$1:$A$49,products!$D$1:$D$49,,0)</f>
        <v>2.5</v>
      </c>
      <c r="L172" s="5">
        <f>_xlfn.XLOOKUP(D172,products!$A$1:$A$49,products!$E$1:$E$49,,0)</f>
        <v>34.154999999999994</v>
      </c>
      <c r="M172">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_xlfn.XLOOKUP(orders!D173,products!$A$1:$A$49,products!$B$1:$B$49,,0)</f>
        <v>Exc</v>
      </c>
      <c r="J173" t="str">
        <f>_xlfn.XLOOKUP(D173,products!$A$1:$A$49,products!$C$1:$C$49,,0)</f>
        <v>M</v>
      </c>
      <c r="K173" s="13">
        <f>_xlfn.XLOOKUP(D173,products!$A$1:$A$49,products!$D$1:$D$49,,0)</f>
        <v>2.5</v>
      </c>
      <c r="L173" s="5">
        <f>_xlfn.XLOOKUP(D173,products!$A$1:$A$49,products!$E$1:$E$49,,0)</f>
        <v>31.624999999999996</v>
      </c>
      <c r="M173">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_xlfn.XLOOKUP(orders!D174,products!$A$1:$A$49,products!$B$1:$B$49,,0)</f>
        <v>Exc</v>
      </c>
      <c r="J174" t="str">
        <f>_xlfn.XLOOKUP(D174,products!$A$1:$A$49,products!$C$1:$C$49,,0)</f>
        <v>D</v>
      </c>
      <c r="K174" s="13">
        <f>_xlfn.XLOOKUP(D174,products!$A$1:$A$49,products!$D$1:$D$49,,0)</f>
        <v>0.5</v>
      </c>
      <c r="L174" s="5">
        <f>_xlfn.XLOOKUP(D174,products!$A$1:$A$49,products!$E$1:$E$49,,0)</f>
        <v>7.29</v>
      </c>
      <c r="M174">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_xlfn.XLOOKUP(orders!D175,products!$A$1:$A$49,products!$B$1:$B$49,,0)</f>
        <v>Rob</v>
      </c>
      <c r="J175" t="str">
        <f>_xlfn.XLOOKUP(D175,products!$A$1:$A$49,products!$C$1:$C$49,,0)</f>
        <v>M</v>
      </c>
      <c r="K175" s="13">
        <f>_xlfn.XLOOKUP(D175,products!$A$1:$A$49,products!$D$1:$D$49,,0)</f>
        <v>2.5</v>
      </c>
      <c r="L175" s="5">
        <f>_xlfn.XLOOKUP(D175,products!$A$1:$A$49,products!$E$1:$E$49,,0)</f>
        <v>22.884999999999998</v>
      </c>
      <c r="M17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_xlfn.XLOOKUP(orders!D176,products!$A$1:$A$49,products!$B$1:$B$49,,0)</f>
        <v>Exc</v>
      </c>
      <c r="J176" t="str">
        <f>_xlfn.XLOOKUP(D176,products!$A$1:$A$49,products!$C$1:$C$49,,0)</f>
        <v>L</v>
      </c>
      <c r="K176" s="13">
        <f>_xlfn.XLOOKUP(D176,products!$A$1:$A$49,products!$D$1:$D$49,,0)</f>
        <v>2.5</v>
      </c>
      <c r="L176" s="5">
        <f>_xlfn.XLOOKUP(D176,products!$A$1:$A$49,products!$E$1:$E$49,,0)</f>
        <v>34.154999999999994</v>
      </c>
      <c r="M176">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_xlfn.XLOOKUP(orders!D177,products!$A$1:$A$49,products!$B$1:$B$49,,0)</f>
        <v>Exc</v>
      </c>
      <c r="J177" t="str">
        <f>_xlfn.XLOOKUP(D177,products!$A$1:$A$49,products!$C$1:$C$49,,0)</f>
        <v>M</v>
      </c>
      <c r="K177" s="13">
        <f>_xlfn.XLOOKUP(D177,products!$A$1:$A$49,products!$D$1:$D$49,,0)</f>
        <v>2.5</v>
      </c>
      <c r="L177" s="5">
        <f>_xlfn.XLOOKUP(D177,products!$A$1:$A$49,products!$E$1:$E$49,,0)</f>
        <v>31.624999999999996</v>
      </c>
      <c r="M177">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_xlfn.XLOOKUP(orders!D178,products!$A$1:$A$49,products!$B$1:$B$49,,0)</f>
        <v>Exc</v>
      </c>
      <c r="J178" t="str">
        <f>_xlfn.XLOOKUP(D178,products!$A$1:$A$49,products!$C$1:$C$49,,0)</f>
        <v>L</v>
      </c>
      <c r="K178" s="13">
        <f>_xlfn.XLOOKUP(D178,products!$A$1:$A$49,products!$D$1:$D$49,,0)</f>
        <v>2.5</v>
      </c>
      <c r="L178" s="5">
        <f>_xlfn.XLOOKUP(D178,products!$A$1:$A$49,products!$E$1:$E$49,,0)</f>
        <v>34.154999999999994</v>
      </c>
      <c r="M178">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_xlfn.XLOOKUP(orders!D179,products!$A$1:$A$49,products!$B$1:$B$49,,0)</f>
        <v>Rob</v>
      </c>
      <c r="J179" t="str">
        <f>_xlfn.XLOOKUP(D179,products!$A$1:$A$49,products!$C$1:$C$49,,0)</f>
        <v>L</v>
      </c>
      <c r="K179" s="13">
        <f>_xlfn.XLOOKUP(D179,products!$A$1:$A$49,products!$D$1:$D$49,,0)</f>
        <v>2.5</v>
      </c>
      <c r="L179" s="5">
        <f>_xlfn.XLOOKUP(D179,products!$A$1:$A$49,products!$E$1:$E$49,,0)</f>
        <v>27.484999999999996</v>
      </c>
      <c r="M179">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_xlfn.XLOOKUP(orders!D180,products!$A$1:$A$49,products!$B$1:$B$49,,0)</f>
        <v>Ara</v>
      </c>
      <c r="J180" t="str">
        <f>_xlfn.XLOOKUP(D180,products!$A$1:$A$49,products!$C$1:$C$49,,0)</f>
        <v>L</v>
      </c>
      <c r="K180" s="13">
        <f>_xlfn.XLOOKUP(D180,products!$A$1:$A$49,products!$D$1:$D$49,,0)</f>
        <v>1</v>
      </c>
      <c r="L180" s="5">
        <f>_xlfn.XLOOKUP(D180,products!$A$1:$A$49,products!$E$1:$E$49,,0)</f>
        <v>12.95</v>
      </c>
      <c r="M180">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_xlfn.XLOOKUP(orders!D181,products!$A$1:$A$49,products!$B$1:$B$49,,0)</f>
        <v>Ara</v>
      </c>
      <c r="J181" t="str">
        <f>_xlfn.XLOOKUP(D181,products!$A$1:$A$49,products!$C$1:$C$49,,0)</f>
        <v>D</v>
      </c>
      <c r="K181" s="13">
        <f>_xlfn.XLOOKUP(D181,products!$A$1:$A$49,products!$D$1:$D$49,,0)</f>
        <v>0.2</v>
      </c>
      <c r="L181" s="5">
        <f>_xlfn.XLOOKUP(D181,products!$A$1:$A$49,products!$E$1:$E$49,,0)</f>
        <v>2.9849999999999999</v>
      </c>
      <c r="M181">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_xlfn.XLOOKUP(orders!D182,products!$A$1:$A$49,products!$B$1:$B$49,,0)</f>
        <v>Exc</v>
      </c>
      <c r="J182" t="str">
        <f>_xlfn.XLOOKUP(D182,products!$A$1:$A$49,products!$C$1:$C$49,,0)</f>
        <v>L</v>
      </c>
      <c r="K182" s="13">
        <f>_xlfn.XLOOKUP(D182,products!$A$1:$A$49,products!$D$1:$D$49,,0)</f>
        <v>0.2</v>
      </c>
      <c r="L182" s="5">
        <f>_xlfn.XLOOKUP(D182,products!$A$1:$A$49,products!$E$1:$E$49,,0)</f>
        <v>4.4550000000000001</v>
      </c>
      <c r="M182">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_xlfn.XLOOKUP(orders!D183,products!$A$1:$A$49,products!$B$1:$B$49,,0)</f>
        <v>Ara</v>
      </c>
      <c r="J183" t="str">
        <f>_xlfn.XLOOKUP(D183,products!$A$1:$A$49,products!$C$1:$C$49,,0)</f>
        <v>D</v>
      </c>
      <c r="K183" s="13">
        <f>_xlfn.XLOOKUP(D183,products!$A$1:$A$49,products!$D$1:$D$49,,0)</f>
        <v>0.5</v>
      </c>
      <c r="L183" s="5">
        <f>_xlfn.XLOOKUP(D183,products!$A$1:$A$49,products!$E$1:$E$49,,0)</f>
        <v>5.97</v>
      </c>
      <c r="M183">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_xlfn.XLOOKUP(orders!D184,products!$A$1:$A$49,products!$B$1:$B$49,,0)</f>
        <v>Rob</v>
      </c>
      <c r="J184" t="str">
        <f>_xlfn.XLOOKUP(D184,products!$A$1:$A$49,products!$C$1:$C$49,,0)</f>
        <v>D</v>
      </c>
      <c r="K184" s="13">
        <f>_xlfn.XLOOKUP(D184,products!$A$1:$A$49,products!$D$1:$D$49,,0)</f>
        <v>0.5</v>
      </c>
      <c r="L184" s="5">
        <f>_xlfn.XLOOKUP(D184,products!$A$1:$A$49,products!$E$1:$E$49,,0)</f>
        <v>5.3699999999999992</v>
      </c>
      <c r="M184">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_xlfn.XLOOKUP(orders!D185,products!$A$1:$A$49,products!$B$1:$B$49,,0)</f>
        <v>Exc</v>
      </c>
      <c r="J185" t="str">
        <f>_xlfn.XLOOKUP(D185,products!$A$1:$A$49,products!$C$1:$C$49,,0)</f>
        <v>M</v>
      </c>
      <c r="K185" s="13">
        <f>_xlfn.XLOOKUP(D185,products!$A$1:$A$49,products!$D$1:$D$49,,0)</f>
        <v>0.2</v>
      </c>
      <c r="L185" s="5">
        <f>_xlfn.XLOOKUP(D185,products!$A$1:$A$49,products!$E$1:$E$49,,0)</f>
        <v>4.125</v>
      </c>
      <c r="M18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_xlfn.XLOOKUP(orders!D186,products!$A$1:$A$49,products!$B$1:$B$49,,0)</f>
        <v>Ara</v>
      </c>
      <c r="J186" t="str">
        <f>_xlfn.XLOOKUP(D186,products!$A$1:$A$49,products!$C$1:$C$49,,0)</f>
        <v>L</v>
      </c>
      <c r="K186" s="13">
        <f>_xlfn.XLOOKUP(D186,products!$A$1:$A$49,products!$D$1:$D$49,,0)</f>
        <v>0.5</v>
      </c>
      <c r="L186" s="5">
        <f>_xlfn.XLOOKUP(D186,products!$A$1:$A$49,products!$E$1:$E$49,,0)</f>
        <v>7.77</v>
      </c>
      <c r="M186">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_xlfn.XLOOKUP(orders!D187,products!$A$1:$A$49,products!$B$1:$B$49,,0)</f>
        <v>Exc</v>
      </c>
      <c r="J187" t="str">
        <f>_xlfn.XLOOKUP(D187,products!$A$1:$A$49,products!$C$1:$C$49,,0)</f>
        <v>D</v>
      </c>
      <c r="K187" s="13">
        <f>_xlfn.XLOOKUP(D187,products!$A$1:$A$49,products!$D$1:$D$49,,0)</f>
        <v>0.5</v>
      </c>
      <c r="L187" s="5">
        <f>_xlfn.XLOOKUP(D187,products!$A$1:$A$49,products!$E$1:$E$49,,0)</f>
        <v>7.29</v>
      </c>
      <c r="M187">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_xlfn.XLOOKUP(orders!D188,products!$A$1:$A$49,products!$B$1:$B$49,,0)</f>
        <v>Rob</v>
      </c>
      <c r="J188" t="str">
        <f>_xlfn.XLOOKUP(D188,products!$A$1:$A$49,products!$C$1:$C$49,,0)</f>
        <v>M</v>
      </c>
      <c r="K188" s="13">
        <f>_xlfn.XLOOKUP(D188,products!$A$1:$A$49,products!$D$1:$D$49,,0)</f>
        <v>2.5</v>
      </c>
      <c r="L188" s="5">
        <f>_xlfn.XLOOKUP(D188,products!$A$1:$A$49,products!$E$1:$E$49,,0)</f>
        <v>22.884999999999998</v>
      </c>
      <c r="M188">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_xlfn.XLOOKUP(orders!D189,products!$A$1:$A$49,products!$B$1:$B$49,,0)</f>
        <v>Lib</v>
      </c>
      <c r="J189" t="str">
        <f>_xlfn.XLOOKUP(D189,products!$A$1:$A$49,products!$C$1:$C$49,,0)</f>
        <v>M</v>
      </c>
      <c r="K189" s="13">
        <f>_xlfn.XLOOKUP(D189,products!$A$1:$A$49,products!$D$1:$D$49,,0)</f>
        <v>0.5</v>
      </c>
      <c r="L189" s="5">
        <f>_xlfn.XLOOKUP(D189,products!$A$1:$A$49,products!$E$1:$E$49,,0)</f>
        <v>8.73</v>
      </c>
      <c r="M189">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_xlfn.XLOOKUP(orders!D190,products!$A$1:$A$49,products!$B$1:$B$49,,0)</f>
        <v>Exc</v>
      </c>
      <c r="J190" t="str">
        <f>_xlfn.XLOOKUP(D190,products!$A$1:$A$49,products!$C$1:$C$49,,0)</f>
        <v>L</v>
      </c>
      <c r="K190" s="13">
        <f>_xlfn.XLOOKUP(D190,products!$A$1:$A$49,products!$D$1:$D$49,,0)</f>
        <v>0.2</v>
      </c>
      <c r="L190" s="5">
        <f>_xlfn.XLOOKUP(D190,products!$A$1:$A$49,products!$E$1:$E$49,,0)</f>
        <v>4.4550000000000001</v>
      </c>
      <c r="M190">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_xlfn.XLOOKUP(orders!D191,products!$A$1:$A$49,products!$B$1:$B$49,,0)</f>
        <v>Lib</v>
      </c>
      <c r="J191" t="str">
        <f>_xlfn.XLOOKUP(D191,products!$A$1:$A$49,products!$C$1:$C$49,,0)</f>
        <v>M</v>
      </c>
      <c r="K191" s="13">
        <f>_xlfn.XLOOKUP(D191,products!$A$1:$A$49,products!$D$1:$D$49,,0)</f>
        <v>1</v>
      </c>
      <c r="L191" s="5">
        <f>_xlfn.XLOOKUP(D191,products!$A$1:$A$49,products!$E$1:$E$49,,0)</f>
        <v>14.55</v>
      </c>
      <c r="M191">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_xlfn.XLOOKUP(orders!D192,products!$A$1:$A$49,products!$B$1:$B$49,,0)</f>
        <v>Lib</v>
      </c>
      <c r="J192" t="str">
        <f>_xlfn.XLOOKUP(D192,products!$A$1:$A$49,products!$C$1:$C$49,,0)</f>
        <v>M</v>
      </c>
      <c r="K192" s="13">
        <f>_xlfn.XLOOKUP(D192,products!$A$1:$A$49,products!$D$1:$D$49,,0)</f>
        <v>2.5</v>
      </c>
      <c r="L192" s="5">
        <f>_xlfn.XLOOKUP(D192,products!$A$1:$A$49,products!$E$1:$E$49,,0)</f>
        <v>33.464999999999996</v>
      </c>
      <c r="M192">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_xlfn.XLOOKUP(orders!D193,products!$A$1:$A$49,products!$B$1:$B$49,,0)</f>
        <v>Lib</v>
      </c>
      <c r="J193" t="str">
        <f>_xlfn.XLOOKUP(D193,products!$A$1:$A$49,products!$C$1:$C$49,,0)</f>
        <v>D</v>
      </c>
      <c r="K193" s="13">
        <f>_xlfn.XLOOKUP(D193,products!$A$1:$A$49,products!$D$1:$D$49,,0)</f>
        <v>0.2</v>
      </c>
      <c r="L193" s="5">
        <f>_xlfn.XLOOKUP(D193,products!$A$1:$A$49,products!$E$1:$E$49,,0)</f>
        <v>3.8849999999999998</v>
      </c>
      <c r="M193">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_xlfn.XLOOKUP(orders!D194,products!$A$1:$A$49,products!$B$1:$B$49,,0)</f>
        <v>Exc</v>
      </c>
      <c r="J194" t="str">
        <f>_xlfn.XLOOKUP(D194,products!$A$1:$A$49,products!$C$1:$C$49,,0)</f>
        <v>D</v>
      </c>
      <c r="K194" s="13">
        <f>_xlfn.XLOOKUP(D194,products!$A$1:$A$49,products!$D$1:$D$49,,0)</f>
        <v>1</v>
      </c>
      <c r="L194" s="5">
        <f>_xlfn.XLOOKUP(D194,products!$A$1:$A$49,products!$E$1:$E$49,,0)</f>
        <v>12.15</v>
      </c>
      <c r="M194">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_xlfn.XLOOKUP(orders!D195,products!$A$1:$A$49,products!$B$1:$B$49,,0)</f>
        <v>Exc</v>
      </c>
      <c r="J195" t="str">
        <f>_xlfn.XLOOKUP(D195,products!$A$1:$A$49,products!$C$1:$C$49,,0)</f>
        <v>L</v>
      </c>
      <c r="K195" s="13">
        <f>_xlfn.XLOOKUP(D195,products!$A$1:$A$49,products!$D$1:$D$49,,0)</f>
        <v>1</v>
      </c>
      <c r="L195" s="5">
        <f>_xlfn.XLOOKUP(D195,products!$A$1:$A$49,products!$E$1:$E$49,,0)</f>
        <v>14.85</v>
      </c>
      <c r="M19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_xlfn.XLOOKUP(orders!D196,products!$A$1:$A$49,products!$B$1:$B$49,,0)</f>
        <v>Exc</v>
      </c>
      <c r="J196" t="str">
        <f>_xlfn.XLOOKUP(D196,products!$A$1:$A$49,products!$C$1:$C$49,,0)</f>
        <v>D</v>
      </c>
      <c r="K196" s="13">
        <f>_xlfn.XLOOKUP(D196,products!$A$1:$A$49,products!$D$1:$D$49,,0)</f>
        <v>0.5</v>
      </c>
      <c r="L196" s="5">
        <f>_xlfn.XLOOKUP(D196,products!$A$1:$A$49,products!$E$1:$E$49,,0)</f>
        <v>7.29</v>
      </c>
      <c r="M196">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_xlfn.XLOOKUP(orders!D197,products!$A$1:$A$49,products!$B$1:$B$49,,0)</f>
        <v>Ara</v>
      </c>
      <c r="J197" t="str">
        <f>_xlfn.XLOOKUP(D197,products!$A$1:$A$49,products!$C$1:$C$49,,0)</f>
        <v>L</v>
      </c>
      <c r="K197" s="13">
        <f>_xlfn.XLOOKUP(D197,products!$A$1:$A$49,products!$D$1:$D$49,,0)</f>
        <v>1</v>
      </c>
      <c r="L197" s="5">
        <f>_xlfn.XLOOKUP(D197,products!$A$1:$A$49,products!$E$1:$E$49,,0)</f>
        <v>12.95</v>
      </c>
      <c r="M197">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_xlfn.XLOOKUP(orders!D198,products!$A$1:$A$49,products!$B$1:$B$49,,0)</f>
        <v>Exc</v>
      </c>
      <c r="J198" t="str">
        <f>_xlfn.XLOOKUP(D198,products!$A$1:$A$49,products!$C$1:$C$49,,0)</f>
        <v>L</v>
      </c>
      <c r="K198" s="13">
        <f>_xlfn.XLOOKUP(D198,products!$A$1:$A$49,products!$D$1:$D$49,,0)</f>
        <v>0.5</v>
      </c>
      <c r="L198" s="5">
        <f>_xlfn.XLOOKUP(D198,products!$A$1:$A$49,products!$E$1:$E$49,,0)</f>
        <v>8.91</v>
      </c>
      <c r="M198">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_xlfn.XLOOKUP(orders!D199,products!$A$1:$A$49,products!$B$1:$B$49,,0)</f>
        <v>Lib</v>
      </c>
      <c r="J199" t="str">
        <f>_xlfn.XLOOKUP(D199,products!$A$1:$A$49,products!$C$1:$C$49,,0)</f>
        <v>D</v>
      </c>
      <c r="K199" s="13">
        <f>_xlfn.XLOOKUP(D199,products!$A$1:$A$49,products!$D$1:$D$49,,0)</f>
        <v>2.5</v>
      </c>
      <c r="L199" s="5">
        <f>_xlfn.XLOOKUP(D199,products!$A$1:$A$49,products!$E$1:$E$49,,0)</f>
        <v>29.784999999999997</v>
      </c>
      <c r="M199">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_xlfn.XLOOKUP(orders!D200,products!$A$1:$A$49,products!$B$1:$B$49,,0)</f>
        <v>Lib</v>
      </c>
      <c r="J200" t="str">
        <f>_xlfn.XLOOKUP(D200,products!$A$1:$A$49,products!$C$1:$C$49,,0)</f>
        <v>D</v>
      </c>
      <c r="K200" s="13">
        <f>_xlfn.XLOOKUP(D200,products!$A$1:$A$49,products!$D$1:$D$49,,0)</f>
        <v>2.5</v>
      </c>
      <c r="L200" s="5">
        <f>_xlfn.XLOOKUP(D200,products!$A$1:$A$49,products!$E$1:$E$49,,0)</f>
        <v>29.784999999999997</v>
      </c>
      <c r="M200">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_xlfn.XLOOKUP(orders!D201,products!$A$1:$A$49,products!$B$1:$B$49,,0)</f>
        <v>Lib</v>
      </c>
      <c r="J201" t="str">
        <f>_xlfn.XLOOKUP(D201,products!$A$1:$A$49,products!$C$1:$C$49,,0)</f>
        <v>L</v>
      </c>
      <c r="K201" s="13">
        <f>_xlfn.XLOOKUP(D201,products!$A$1:$A$49,products!$D$1:$D$49,,0)</f>
        <v>0.5</v>
      </c>
      <c r="L201" s="5">
        <f>_xlfn.XLOOKUP(D201,products!$A$1:$A$49,products!$E$1:$E$49,,0)</f>
        <v>9.51</v>
      </c>
      <c r="M201">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_xlfn.XLOOKUP(orders!D202,products!$A$1:$A$49,products!$B$1:$B$49,,0)</f>
        <v>Exc</v>
      </c>
      <c r="J202" t="str">
        <f>_xlfn.XLOOKUP(D202,products!$A$1:$A$49,products!$C$1:$C$49,,0)</f>
        <v>M</v>
      </c>
      <c r="K202" s="13">
        <f>_xlfn.XLOOKUP(D202,products!$A$1:$A$49,products!$D$1:$D$49,,0)</f>
        <v>1</v>
      </c>
      <c r="L202" s="5">
        <f>_xlfn.XLOOKUP(D202,products!$A$1:$A$49,products!$E$1:$E$49,,0)</f>
        <v>13.75</v>
      </c>
      <c r="M202">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_xlfn.XLOOKUP(orders!D203,products!$A$1:$A$49,products!$B$1:$B$49,,0)</f>
        <v>Lib</v>
      </c>
      <c r="J203" t="str">
        <f>_xlfn.XLOOKUP(D203,products!$A$1:$A$49,products!$C$1:$C$49,,0)</f>
        <v>L</v>
      </c>
      <c r="K203" s="13">
        <f>_xlfn.XLOOKUP(D203,products!$A$1:$A$49,products!$D$1:$D$49,,0)</f>
        <v>0.5</v>
      </c>
      <c r="L203" s="5">
        <f>_xlfn.XLOOKUP(D203,products!$A$1:$A$49,products!$E$1:$E$49,,0)</f>
        <v>9.51</v>
      </c>
      <c r="M203">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_xlfn.XLOOKUP(orders!D204,products!$A$1:$A$49,products!$B$1:$B$49,,0)</f>
        <v>Lib</v>
      </c>
      <c r="J204" t="str">
        <f>_xlfn.XLOOKUP(D204,products!$A$1:$A$49,products!$C$1:$C$49,,0)</f>
        <v>D</v>
      </c>
      <c r="K204" s="13">
        <f>_xlfn.XLOOKUP(D204,products!$A$1:$A$49,products!$D$1:$D$49,,0)</f>
        <v>2.5</v>
      </c>
      <c r="L204" s="5">
        <f>_xlfn.XLOOKUP(D204,products!$A$1:$A$49,products!$E$1:$E$49,,0)</f>
        <v>29.784999999999997</v>
      </c>
      <c r="M204">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_xlfn.XLOOKUP(orders!D205,products!$A$1:$A$49,products!$B$1:$B$49,,0)</f>
        <v>Lib</v>
      </c>
      <c r="J205" t="str">
        <f>_xlfn.XLOOKUP(D205,products!$A$1:$A$49,products!$C$1:$C$49,,0)</f>
        <v>L</v>
      </c>
      <c r="K205" s="13">
        <f>_xlfn.XLOOKUP(D205,products!$A$1:$A$49,products!$D$1:$D$49,,0)</f>
        <v>0.2</v>
      </c>
      <c r="L205" s="5">
        <f>_xlfn.XLOOKUP(D205,products!$A$1:$A$49,products!$E$1:$E$49,,0)</f>
        <v>4.7549999999999999</v>
      </c>
      <c r="M20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_xlfn.XLOOKUP(orders!D206,products!$A$1:$A$49,products!$B$1:$B$49,,0)</f>
        <v>Exc</v>
      </c>
      <c r="J206" t="str">
        <f>_xlfn.XLOOKUP(D206,products!$A$1:$A$49,products!$C$1:$C$49,,0)</f>
        <v>M</v>
      </c>
      <c r="K206" s="13">
        <f>_xlfn.XLOOKUP(D206,products!$A$1:$A$49,products!$D$1:$D$49,,0)</f>
        <v>1</v>
      </c>
      <c r="L206" s="5">
        <f>_xlfn.XLOOKUP(D206,products!$A$1:$A$49,products!$E$1:$E$49,,0)</f>
        <v>13.75</v>
      </c>
      <c r="M206">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_xlfn.XLOOKUP(orders!D207,products!$A$1:$A$49,products!$B$1:$B$49,,0)</f>
        <v>Rob</v>
      </c>
      <c r="J207" t="str">
        <f>_xlfn.XLOOKUP(D207,products!$A$1:$A$49,products!$C$1:$C$49,,0)</f>
        <v>D</v>
      </c>
      <c r="K207" s="13">
        <f>_xlfn.XLOOKUP(D207,products!$A$1:$A$49,products!$D$1:$D$49,,0)</f>
        <v>0.2</v>
      </c>
      <c r="L207" s="5">
        <f>_xlfn.XLOOKUP(D207,products!$A$1:$A$49,products!$E$1:$E$49,,0)</f>
        <v>2.6849999999999996</v>
      </c>
      <c r="M207">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_xlfn.XLOOKUP(orders!D208,products!$A$1:$A$49,products!$B$1:$B$49,,0)</f>
        <v>Ara</v>
      </c>
      <c r="J208" t="str">
        <f>_xlfn.XLOOKUP(D208,products!$A$1:$A$49,products!$C$1:$C$49,,0)</f>
        <v>M</v>
      </c>
      <c r="K208" s="13">
        <f>_xlfn.XLOOKUP(D208,products!$A$1:$A$49,products!$D$1:$D$49,,0)</f>
        <v>1</v>
      </c>
      <c r="L208" s="5">
        <f>_xlfn.XLOOKUP(D208,products!$A$1:$A$49,products!$E$1:$E$49,,0)</f>
        <v>11.25</v>
      </c>
      <c r="M208">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_xlfn.XLOOKUP(orders!D209,products!$A$1:$A$49,products!$B$1:$B$49,,0)</f>
        <v>Ara</v>
      </c>
      <c r="J209" t="str">
        <f>_xlfn.XLOOKUP(D209,products!$A$1:$A$49,products!$C$1:$C$49,,0)</f>
        <v>M</v>
      </c>
      <c r="K209" s="13">
        <f>_xlfn.XLOOKUP(D209,products!$A$1:$A$49,products!$D$1:$D$49,,0)</f>
        <v>0.5</v>
      </c>
      <c r="L209" s="5">
        <f>_xlfn.XLOOKUP(D209,products!$A$1:$A$49,products!$E$1:$E$49,,0)</f>
        <v>6.75</v>
      </c>
      <c r="M209">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_xlfn.XLOOKUP(orders!D210,products!$A$1:$A$49,products!$B$1:$B$49,,0)</f>
        <v>Exc</v>
      </c>
      <c r="J210" t="str">
        <f>_xlfn.XLOOKUP(D210,products!$A$1:$A$49,products!$C$1:$C$49,,0)</f>
        <v>D</v>
      </c>
      <c r="K210" s="13">
        <f>_xlfn.XLOOKUP(D210,products!$A$1:$A$49,products!$D$1:$D$49,,0)</f>
        <v>0.5</v>
      </c>
      <c r="L210" s="5">
        <f>_xlfn.XLOOKUP(D210,products!$A$1:$A$49,products!$E$1:$E$49,,0)</f>
        <v>7.29</v>
      </c>
      <c r="M210">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_xlfn.XLOOKUP(orders!D211,products!$A$1:$A$49,products!$B$1:$B$49,,0)</f>
        <v>Ara</v>
      </c>
      <c r="J211" t="str">
        <f>_xlfn.XLOOKUP(D211,products!$A$1:$A$49,products!$C$1:$C$49,,0)</f>
        <v>M</v>
      </c>
      <c r="K211" s="13">
        <f>_xlfn.XLOOKUP(D211,products!$A$1:$A$49,products!$D$1:$D$49,,0)</f>
        <v>0.5</v>
      </c>
      <c r="L211" s="5">
        <f>_xlfn.XLOOKUP(D211,products!$A$1:$A$49,products!$E$1:$E$49,,0)</f>
        <v>6.75</v>
      </c>
      <c r="M211">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_xlfn.XLOOKUP(orders!D212,products!$A$1:$A$49,products!$B$1:$B$49,,0)</f>
        <v>Lib</v>
      </c>
      <c r="J212" t="str">
        <f>_xlfn.XLOOKUP(D212,products!$A$1:$A$49,products!$C$1:$C$49,,0)</f>
        <v>D</v>
      </c>
      <c r="K212" s="13">
        <f>_xlfn.XLOOKUP(D212,products!$A$1:$A$49,products!$D$1:$D$49,,0)</f>
        <v>1</v>
      </c>
      <c r="L212" s="5">
        <f>_xlfn.XLOOKUP(D212,products!$A$1:$A$49,products!$E$1:$E$49,,0)</f>
        <v>12.95</v>
      </c>
      <c r="M212">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_xlfn.XLOOKUP(orders!D213,products!$A$1:$A$49,products!$B$1:$B$49,,0)</f>
        <v>Exc</v>
      </c>
      <c r="J213" t="str">
        <f>_xlfn.XLOOKUP(D213,products!$A$1:$A$49,products!$C$1:$C$49,,0)</f>
        <v>L</v>
      </c>
      <c r="K213" s="13">
        <f>_xlfn.XLOOKUP(D213,products!$A$1:$A$49,products!$D$1:$D$49,,0)</f>
        <v>0.5</v>
      </c>
      <c r="L213" s="5">
        <f>_xlfn.XLOOKUP(D213,products!$A$1:$A$49,products!$E$1:$E$49,,0)</f>
        <v>8.91</v>
      </c>
      <c r="M213">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_xlfn.XLOOKUP(orders!D214,products!$A$1:$A$49,products!$B$1:$B$49,,0)</f>
        <v>Exc</v>
      </c>
      <c r="J214" t="str">
        <f>_xlfn.XLOOKUP(D214,products!$A$1:$A$49,products!$C$1:$C$49,,0)</f>
        <v>D</v>
      </c>
      <c r="K214" s="13">
        <f>_xlfn.XLOOKUP(D214,products!$A$1:$A$49,products!$D$1:$D$49,,0)</f>
        <v>0.2</v>
      </c>
      <c r="L214" s="5">
        <f>_xlfn.XLOOKUP(D214,products!$A$1:$A$49,products!$E$1:$E$49,,0)</f>
        <v>3.645</v>
      </c>
      <c r="M214">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_xlfn.XLOOKUP(orders!D215,products!$A$1:$A$49,products!$B$1:$B$49,,0)</f>
        <v>Rob</v>
      </c>
      <c r="J215" t="str">
        <f>_xlfn.XLOOKUP(D215,products!$A$1:$A$49,products!$C$1:$C$49,,0)</f>
        <v>D</v>
      </c>
      <c r="K215" s="13">
        <f>_xlfn.XLOOKUP(D215,products!$A$1:$A$49,products!$D$1:$D$49,,0)</f>
        <v>2.5</v>
      </c>
      <c r="L215" s="5">
        <f>_xlfn.XLOOKUP(D215,products!$A$1:$A$49,products!$E$1:$E$49,,0)</f>
        <v>20.584999999999997</v>
      </c>
      <c r="M21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_xlfn.XLOOKUP(orders!D216,products!$A$1:$A$49,products!$B$1:$B$49,,0)</f>
        <v>Lib</v>
      </c>
      <c r="J216" t="str">
        <f>_xlfn.XLOOKUP(D216,products!$A$1:$A$49,products!$C$1:$C$49,,0)</f>
        <v>L</v>
      </c>
      <c r="K216" s="13">
        <f>_xlfn.XLOOKUP(D216,products!$A$1:$A$49,products!$D$1:$D$49,,0)</f>
        <v>1</v>
      </c>
      <c r="L216" s="5">
        <f>_xlfn.XLOOKUP(D216,products!$A$1:$A$49,products!$E$1:$E$49,,0)</f>
        <v>15.85</v>
      </c>
      <c r="M216">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_xlfn.XLOOKUP(orders!D217,products!$A$1:$A$49,products!$B$1:$B$49,,0)</f>
        <v>Lib</v>
      </c>
      <c r="J217" t="str">
        <f>_xlfn.XLOOKUP(D217,products!$A$1:$A$49,products!$C$1:$C$49,,0)</f>
        <v>D</v>
      </c>
      <c r="K217" s="13">
        <f>_xlfn.XLOOKUP(D217,products!$A$1:$A$49,products!$D$1:$D$49,,0)</f>
        <v>0.2</v>
      </c>
      <c r="L217" s="5">
        <f>_xlfn.XLOOKUP(D217,products!$A$1:$A$49,products!$E$1:$E$49,,0)</f>
        <v>3.8849999999999998</v>
      </c>
      <c r="M217">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_xlfn.XLOOKUP(orders!D218,products!$A$1:$A$49,products!$B$1:$B$49,,0)</f>
        <v>Lib</v>
      </c>
      <c r="J218" t="str">
        <f>_xlfn.XLOOKUP(D218,products!$A$1:$A$49,products!$C$1:$C$49,,0)</f>
        <v>M</v>
      </c>
      <c r="K218" s="13">
        <f>_xlfn.XLOOKUP(D218,products!$A$1:$A$49,products!$D$1:$D$49,,0)</f>
        <v>1</v>
      </c>
      <c r="L218" s="5">
        <f>_xlfn.XLOOKUP(D218,products!$A$1:$A$49,products!$E$1:$E$49,,0)</f>
        <v>14.55</v>
      </c>
      <c r="M218">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_xlfn.XLOOKUP(orders!D219,products!$A$1:$A$49,products!$B$1:$B$49,,0)</f>
        <v>Exc</v>
      </c>
      <c r="J219" t="str">
        <f>_xlfn.XLOOKUP(D219,products!$A$1:$A$49,products!$C$1:$C$49,,0)</f>
        <v>L</v>
      </c>
      <c r="K219" s="13">
        <f>_xlfn.XLOOKUP(D219,products!$A$1:$A$49,products!$D$1:$D$49,,0)</f>
        <v>0.5</v>
      </c>
      <c r="L219" s="5">
        <f>_xlfn.XLOOKUP(D219,products!$A$1:$A$49,products!$E$1:$E$49,,0)</f>
        <v>8.91</v>
      </c>
      <c r="M219">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_xlfn.XLOOKUP(orders!D220,products!$A$1:$A$49,products!$B$1:$B$49,,0)</f>
        <v>Ara</v>
      </c>
      <c r="J220" t="str">
        <f>_xlfn.XLOOKUP(D220,products!$A$1:$A$49,products!$C$1:$C$49,,0)</f>
        <v>M</v>
      </c>
      <c r="K220" s="13">
        <f>_xlfn.XLOOKUP(D220,products!$A$1:$A$49,products!$D$1:$D$49,,0)</f>
        <v>1</v>
      </c>
      <c r="L220" s="5">
        <f>_xlfn.XLOOKUP(D220,products!$A$1:$A$49,products!$E$1:$E$49,,0)</f>
        <v>11.25</v>
      </c>
      <c r="M220">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_xlfn.XLOOKUP(orders!D221,products!$A$1:$A$49,products!$B$1:$B$49,,0)</f>
        <v>Rob</v>
      </c>
      <c r="J221" t="str">
        <f>_xlfn.XLOOKUP(D221,products!$A$1:$A$49,products!$C$1:$C$49,,0)</f>
        <v>L</v>
      </c>
      <c r="K221" s="13">
        <f>_xlfn.XLOOKUP(D221,products!$A$1:$A$49,products!$D$1:$D$49,,0)</f>
        <v>0.2</v>
      </c>
      <c r="L221" s="5">
        <f>_xlfn.XLOOKUP(D221,products!$A$1:$A$49,products!$E$1:$E$49,,0)</f>
        <v>3.5849999999999995</v>
      </c>
      <c r="M221">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_xlfn.XLOOKUP(orders!D222,products!$A$1:$A$49,products!$B$1:$B$49,,0)</f>
        <v>Rob</v>
      </c>
      <c r="J222" t="str">
        <f>_xlfn.XLOOKUP(D222,products!$A$1:$A$49,products!$C$1:$C$49,,0)</f>
        <v>M</v>
      </c>
      <c r="K222" s="13">
        <f>_xlfn.XLOOKUP(D222,products!$A$1:$A$49,products!$D$1:$D$49,,0)</f>
        <v>0.2</v>
      </c>
      <c r="L222" s="5">
        <f>_xlfn.XLOOKUP(D222,products!$A$1:$A$49,products!$E$1:$E$49,,0)</f>
        <v>2.9849999999999999</v>
      </c>
      <c r="M222">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_xlfn.XLOOKUP(orders!D223,products!$A$1:$A$49,products!$B$1:$B$49,,0)</f>
        <v>Ara</v>
      </c>
      <c r="J223" t="str">
        <f>_xlfn.XLOOKUP(D223,products!$A$1:$A$49,products!$C$1:$C$49,,0)</f>
        <v>L</v>
      </c>
      <c r="K223" s="13">
        <f>_xlfn.XLOOKUP(D223,products!$A$1:$A$49,products!$D$1:$D$49,,0)</f>
        <v>1</v>
      </c>
      <c r="L223" s="5">
        <f>_xlfn.XLOOKUP(D223,products!$A$1:$A$49,products!$E$1:$E$49,,0)</f>
        <v>12.95</v>
      </c>
      <c r="M223">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_xlfn.XLOOKUP(orders!D224,products!$A$1:$A$49,products!$B$1:$B$49,,0)</f>
        <v>Lib</v>
      </c>
      <c r="J224" t="str">
        <f>_xlfn.XLOOKUP(D224,products!$A$1:$A$49,products!$C$1:$C$49,,0)</f>
        <v>D</v>
      </c>
      <c r="K224" s="13">
        <f>_xlfn.XLOOKUP(D224,products!$A$1:$A$49,products!$D$1:$D$49,,0)</f>
        <v>0.5</v>
      </c>
      <c r="L224" s="5">
        <f>_xlfn.XLOOKUP(D224,products!$A$1:$A$49,products!$E$1:$E$49,,0)</f>
        <v>7.77</v>
      </c>
      <c r="M224">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_xlfn.XLOOKUP(orders!D225,products!$A$1:$A$49,products!$B$1:$B$49,,0)</f>
        <v>Exc</v>
      </c>
      <c r="J225" t="str">
        <f>_xlfn.XLOOKUP(D225,products!$A$1:$A$49,products!$C$1:$C$49,,0)</f>
        <v>L</v>
      </c>
      <c r="K225" s="13">
        <f>_xlfn.XLOOKUP(D225,products!$A$1:$A$49,products!$D$1:$D$49,,0)</f>
        <v>1</v>
      </c>
      <c r="L225" s="5">
        <f>_xlfn.XLOOKUP(D225,products!$A$1:$A$49,products!$E$1:$E$49,,0)</f>
        <v>14.85</v>
      </c>
      <c r="M22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_xlfn.XLOOKUP(orders!D226,products!$A$1:$A$49,products!$B$1:$B$49,,0)</f>
        <v>Lib</v>
      </c>
      <c r="J226" t="str">
        <f>_xlfn.XLOOKUP(D226,products!$A$1:$A$49,products!$C$1:$C$49,,0)</f>
        <v>D</v>
      </c>
      <c r="K226" s="13">
        <f>_xlfn.XLOOKUP(D226,products!$A$1:$A$49,products!$D$1:$D$49,,0)</f>
        <v>2.5</v>
      </c>
      <c r="L226" s="5">
        <f>_xlfn.XLOOKUP(D226,products!$A$1:$A$49,products!$E$1:$E$49,,0)</f>
        <v>29.784999999999997</v>
      </c>
      <c r="M226">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_xlfn.XLOOKUP(orders!D227,products!$A$1:$A$49,products!$B$1:$B$49,,0)</f>
        <v>Rob</v>
      </c>
      <c r="J227" t="str">
        <f>_xlfn.XLOOKUP(D227,products!$A$1:$A$49,products!$C$1:$C$49,,0)</f>
        <v>L</v>
      </c>
      <c r="K227" s="13">
        <f>_xlfn.XLOOKUP(D227,products!$A$1:$A$49,products!$D$1:$D$49,,0)</f>
        <v>0.2</v>
      </c>
      <c r="L227" s="5">
        <f>_xlfn.XLOOKUP(D227,products!$A$1:$A$49,products!$E$1:$E$49,,0)</f>
        <v>3.5849999999999995</v>
      </c>
      <c r="M227">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_xlfn.XLOOKUP(orders!D228,products!$A$1:$A$49,products!$B$1:$B$49,,0)</f>
        <v>Ara</v>
      </c>
      <c r="J228" t="str">
        <f>_xlfn.XLOOKUP(D228,products!$A$1:$A$49,products!$C$1:$C$49,,0)</f>
        <v>M</v>
      </c>
      <c r="K228" s="13">
        <f>_xlfn.XLOOKUP(D228,products!$A$1:$A$49,products!$D$1:$D$49,,0)</f>
        <v>2.5</v>
      </c>
      <c r="L228" s="5">
        <f>_xlfn.XLOOKUP(D228,products!$A$1:$A$49,products!$E$1:$E$49,,0)</f>
        <v>25.874999999999996</v>
      </c>
      <c r="M228">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_xlfn.XLOOKUP(orders!D229,products!$A$1:$A$49,products!$B$1:$B$49,,0)</f>
        <v>Rob</v>
      </c>
      <c r="J229" t="str">
        <f>_xlfn.XLOOKUP(D229,products!$A$1:$A$49,products!$C$1:$C$49,,0)</f>
        <v>D</v>
      </c>
      <c r="K229" s="13">
        <f>_xlfn.XLOOKUP(D229,products!$A$1:$A$49,products!$D$1:$D$49,,0)</f>
        <v>0.2</v>
      </c>
      <c r="L229" s="5">
        <f>_xlfn.XLOOKUP(D229,products!$A$1:$A$49,products!$E$1:$E$49,,0)</f>
        <v>2.6849999999999996</v>
      </c>
      <c r="M229">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_xlfn.XLOOKUP(orders!D230,products!$A$1:$A$49,products!$B$1:$B$49,,0)</f>
        <v>Rob</v>
      </c>
      <c r="J230" t="str">
        <f>_xlfn.XLOOKUP(D230,products!$A$1:$A$49,products!$C$1:$C$49,,0)</f>
        <v>L</v>
      </c>
      <c r="K230" s="13">
        <f>_xlfn.XLOOKUP(D230,products!$A$1:$A$49,products!$D$1:$D$49,,0)</f>
        <v>0.2</v>
      </c>
      <c r="L230" s="5">
        <f>_xlfn.XLOOKUP(D230,products!$A$1:$A$49,products!$E$1:$E$49,,0)</f>
        <v>3.5849999999999995</v>
      </c>
      <c r="M230">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_xlfn.XLOOKUP(orders!D231,products!$A$1:$A$49,products!$B$1:$B$49,,0)</f>
        <v>Lib</v>
      </c>
      <c r="J231" t="str">
        <f>_xlfn.XLOOKUP(D231,products!$A$1:$A$49,products!$C$1:$C$49,,0)</f>
        <v>M</v>
      </c>
      <c r="K231" s="13">
        <f>_xlfn.XLOOKUP(D231,products!$A$1:$A$49,products!$D$1:$D$49,,0)</f>
        <v>0.2</v>
      </c>
      <c r="L231" s="5">
        <f>_xlfn.XLOOKUP(D231,products!$A$1:$A$49,products!$E$1:$E$49,,0)</f>
        <v>4.3650000000000002</v>
      </c>
      <c r="M231">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_xlfn.XLOOKUP(orders!D232,products!$A$1:$A$49,products!$B$1:$B$49,,0)</f>
        <v>Ara</v>
      </c>
      <c r="J232" t="str">
        <f>_xlfn.XLOOKUP(D232,products!$A$1:$A$49,products!$C$1:$C$49,,0)</f>
        <v>M</v>
      </c>
      <c r="K232" s="13">
        <f>_xlfn.XLOOKUP(D232,products!$A$1:$A$49,products!$D$1:$D$49,,0)</f>
        <v>2.5</v>
      </c>
      <c r="L232" s="5">
        <f>_xlfn.XLOOKUP(D232,products!$A$1:$A$49,products!$E$1:$E$49,,0)</f>
        <v>25.874999999999996</v>
      </c>
      <c r="M232">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_xlfn.XLOOKUP(orders!D233,products!$A$1:$A$49,products!$B$1:$B$49,,0)</f>
        <v>Lib</v>
      </c>
      <c r="J233" t="str">
        <f>_xlfn.XLOOKUP(D233,products!$A$1:$A$49,products!$C$1:$C$49,,0)</f>
        <v>M</v>
      </c>
      <c r="K233" s="13">
        <f>_xlfn.XLOOKUP(D233,products!$A$1:$A$49,products!$D$1:$D$49,,0)</f>
        <v>0.2</v>
      </c>
      <c r="L233" s="5">
        <f>_xlfn.XLOOKUP(D233,products!$A$1:$A$49,products!$E$1:$E$49,,0)</f>
        <v>4.3650000000000002</v>
      </c>
      <c r="M233">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_xlfn.XLOOKUP(orders!D234,products!$A$1:$A$49,products!$B$1:$B$49,,0)</f>
        <v>Lib</v>
      </c>
      <c r="J234" t="str">
        <f>_xlfn.XLOOKUP(D234,products!$A$1:$A$49,products!$C$1:$C$49,,0)</f>
        <v>L</v>
      </c>
      <c r="K234" s="13">
        <f>_xlfn.XLOOKUP(D234,products!$A$1:$A$49,products!$D$1:$D$49,,0)</f>
        <v>0.2</v>
      </c>
      <c r="L234" s="5">
        <f>_xlfn.XLOOKUP(D234,products!$A$1:$A$49,products!$E$1:$E$49,,0)</f>
        <v>4.7549999999999999</v>
      </c>
      <c r="M234">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_xlfn.XLOOKUP(orders!D235,products!$A$1:$A$49,products!$B$1:$B$49,,0)</f>
        <v>Exc</v>
      </c>
      <c r="J235" t="str">
        <f>_xlfn.XLOOKUP(D235,products!$A$1:$A$49,products!$C$1:$C$49,,0)</f>
        <v>M</v>
      </c>
      <c r="K235" s="13">
        <f>_xlfn.XLOOKUP(D235,products!$A$1:$A$49,products!$D$1:$D$49,,0)</f>
        <v>0.2</v>
      </c>
      <c r="L235" s="5">
        <f>_xlfn.XLOOKUP(D235,products!$A$1:$A$49,products!$E$1:$E$49,,0)</f>
        <v>4.125</v>
      </c>
      <c r="M23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_xlfn.XLOOKUP(orders!D236,products!$A$1:$A$49,products!$B$1:$B$49,,0)</f>
        <v>Lib</v>
      </c>
      <c r="J236" t="str">
        <f>_xlfn.XLOOKUP(D236,products!$A$1:$A$49,products!$C$1:$C$49,,0)</f>
        <v>L</v>
      </c>
      <c r="K236" s="13">
        <f>_xlfn.XLOOKUP(D236,products!$A$1:$A$49,products!$D$1:$D$49,,0)</f>
        <v>2.5</v>
      </c>
      <c r="L236" s="5">
        <f>_xlfn.XLOOKUP(D236,products!$A$1:$A$49,products!$E$1:$E$49,,0)</f>
        <v>36.454999999999998</v>
      </c>
      <c r="M236">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_xlfn.XLOOKUP(orders!D237,products!$A$1:$A$49,products!$B$1:$B$49,,0)</f>
        <v>Lib</v>
      </c>
      <c r="J237" t="str">
        <f>_xlfn.XLOOKUP(D237,products!$A$1:$A$49,products!$C$1:$C$49,,0)</f>
        <v>L</v>
      </c>
      <c r="K237" s="13">
        <f>_xlfn.XLOOKUP(D237,products!$A$1:$A$49,products!$D$1:$D$49,,0)</f>
        <v>2.5</v>
      </c>
      <c r="L237" s="5">
        <f>_xlfn.XLOOKUP(D237,products!$A$1:$A$49,products!$E$1:$E$49,,0)</f>
        <v>36.454999999999998</v>
      </c>
      <c r="M237">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_xlfn.XLOOKUP(orders!D238,products!$A$1:$A$49,products!$B$1:$B$49,,0)</f>
        <v>Lib</v>
      </c>
      <c r="J238" t="str">
        <f>_xlfn.XLOOKUP(D238,products!$A$1:$A$49,products!$C$1:$C$49,,0)</f>
        <v>D</v>
      </c>
      <c r="K238" s="13">
        <f>_xlfn.XLOOKUP(D238,products!$A$1:$A$49,products!$D$1:$D$49,,0)</f>
        <v>2.5</v>
      </c>
      <c r="L238" s="5">
        <f>_xlfn.XLOOKUP(D238,products!$A$1:$A$49,products!$E$1:$E$49,,0)</f>
        <v>29.784999999999997</v>
      </c>
      <c r="M238">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_xlfn.XLOOKUP(orders!D239,products!$A$1:$A$49,products!$B$1:$B$49,,0)</f>
        <v>Rob</v>
      </c>
      <c r="J239" t="str">
        <f>_xlfn.XLOOKUP(D239,products!$A$1:$A$49,products!$C$1:$C$49,,0)</f>
        <v>L</v>
      </c>
      <c r="K239" s="13">
        <f>_xlfn.XLOOKUP(D239,products!$A$1:$A$49,products!$D$1:$D$49,,0)</f>
        <v>0.2</v>
      </c>
      <c r="L239" s="5">
        <f>_xlfn.XLOOKUP(D239,products!$A$1:$A$49,products!$E$1:$E$49,,0)</f>
        <v>3.5849999999999995</v>
      </c>
      <c r="M239">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_xlfn.XLOOKUP(orders!D240,products!$A$1:$A$49,products!$B$1:$B$49,,0)</f>
        <v>Rob</v>
      </c>
      <c r="J240" t="str">
        <f>_xlfn.XLOOKUP(D240,products!$A$1:$A$49,products!$C$1:$C$49,,0)</f>
        <v>M</v>
      </c>
      <c r="K240" s="13">
        <f>_xlfn.XLOOKUP(D240,products!$A$1:$A$49,products!$D$1:$D$49,,0)</f>
        <v>2.5</v>
      </c>
      <c r="L240" s="5">
        <f>_xlfn.XLOOKUP(D240,products!$A$1:$A$49,products!$E$1:$E$49,,0)</f>
        <v>22.884999999999998</v>
      </c>
      <c r="M240">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_xlfn.XLOOKUP(orders!D241,products!$A$1:$A$49,products!$B$1:$B$49,,0)</f>
        <v>Exc</v>
      </c>
      <c r="J241" t="str">
        <f>_xlfn.XLOOKUP(D241,products!$A$1:$A$49,products!$C$1:$C$49,,0)</f>
        <v>L</v>
      </c>
      <c r="K241" s="13">
        <f>_xlfn.XLOOKUP(D241,products!$A$1:$A$49,products!$D$1:$D$49,,0)</f>
        <v>1</v>
      </c>
      <c r="L241" s="5">
        <f>_xlfn.XLOOKUP(D241,products!$A$1:$A$49,products!$E$1:$E$49,,0)</f>
        <v>14.85</v>
      </c>
      <c r="M241">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_xlfn.XLOOKUP(orders!D242,products!$A$1:$A$49,products!$B$1:$B$49,,0)</f>
        <v>Ara</v>
      </c>
      <c r="J242" t="str">
        <f>_xlfn.XLOOKUP(D242,products!$A$1:$A$49,products!$C$1:$C$49,,0)</f>
        <v>M</v>
      </c>
      <c r="K242" s="13">
        <f>_xlfn.XLOOKUP(D242,products!$A$1:$A$49,products!$D$1:$D$49,,0)</f>
        <v>2.5</v>
      </c>
      <c r="L242" s="5">
        <f>_xlfn.XLOOKUP(D242,products!$A$1:$A$49,products!$E$1:$E$49,,0)</f>
        <v>25.874999999999996</v>
      </c>
      <c r="M242">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_xlfn.XLOOKUP(orders!D243,products!$A$1:$A$49,products!$B$1:$B$49,,0)</f>
        <v>Rob</v>
      </c>
      <c r="J243" t="str">
        <f>_xlfn.XLOOKUP(D243,products!$A$1:$A$49,products!$C$1:$C$49,,0)</f>
        <v>M</v>
      </c>
      <c r="K243" s="13">
        <f>_xlfn.XLOOKUP(D243,products!$A$1:$A$49,products!$D$1:$D$49,,0)</f>
        <v>2.5</v>
      </c>
      <c r="L243" s="5">
        <f>_xlfn.XLOOKUP(D243,products!$A$1:$A$49,products!$E$1:$E$49,,0)</f>
        <v>22.884999999999998</v>
      </c>
      <c r="M243">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_xlfn.XLOOKUP(orders!D244,products!$A$1:$A$49,products!$B$1:$B$49,,0)</f>
        <v>Exc</v>
      </c>
      <c r="J244" t="str">
        <f>_xlfn.XLOOKUP(D244,products!$A$1:$A$49,products!$C$1:$C$49,,0)</f>
        <v>D</v>
      </c>
      <c r="K244" s="13">
        <f>_xlfn.XLOOKUP(D244,products!$A$1:$A$49,products!$D$1:$D$49,,0)</f>
        <v>1</v>
      </c>
      <c r="L244" s="5">
        <f>_xlfn.XLOOKUP(D244,products!$A$1:$A$49,products!$E$1:$E$49,,0)</f>
        <v>12.15</v>
      </c>
      <c r="M244">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_xlfn.XLOOKUP(orders!D245,products!$A$1:$A$49,products!$B$1:$B$49,,0)</f>
        <v>Exc</v>
      </c>
      <c r="J245" t="str">
        <f>_xlfn.XLOOKUP(D245,products!$A$1:$A$49,products!$C$1:$C$49,,0)</f>
        <v>D</v>
      </c>
      <c r="K245" s="13">
        <f>_xlfn.XLOOKUP(D245,products!$A$1:$A$49,products!$D$1:$D$49,,0)</f>
        <v>0.5</v>
      </c>
      <c r="L245" s="5">
        <f>_xlfn.XLOOKUP(D245,products!$A$1:$A$49,products!$E$1:$E$49,,0)</f>
        <v>7.29</v>
      </c>
      <c r="M24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_xlfn.XLOOKUP(orders!D246,products!$A$1:$A$49,products!$B$1:$B$49,,0)</f>
        <v>Lib</v>
      </c>
      <c r="J246" t="str">
        <f>_xlfn.XLOOKUP(D246,products!$A$1:$A$49,products!$C$1:$C$49,,0)</f>
        <v>M</v>
      </c>
      <c r="K246" s="13">
        <f>_xlfn.XLOOKUP(D246,products!$A$1:$A$49,products!$D$1:$D$49,,0)</f>
        <v>2.5</v>
      </c>
      <c r="L246" s="5">
        <f>_xlfn.XLOOKUP(D246,products!$A$1:$A$49,products!$E$1:$E$49,,0)</f>
        <v>33.464999999999996</v>
      </c>
      <c r="M246">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_xlfn.XLOOKUP(orders!D247,products!$A$1:$A$49,products!$B$1:$B$49,,0)</f>
        <v>Lib</v>
      </c>
      <c r="J247" t="str">
        <f>_xlfn.XLOOKUP(D247,products!$A$1:$A$49,products!$C$1:$C$49,,0)</f>
        <v>L</v>
      </c>
      <c r="K247" s="13">
        <f>_xlfn.XLOOKUP(D247,products!$A$1:$A$49,products!$D$1:$D$49,,0)</f>
        <v>0.2</v>
      </c>
      <c r="L247" s="5">
        <f>_xlfn.XLOOKUP(D247,products!$A$1:$A$49,products!$E$1:$E$49,,0)</f>
        <v>4.7549999999999999</v>
      </c>
      <c r="M247">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_xlfn.XLOOKUP(orders!D248,products!$A$1:$A$49,products!$B$1:$B$49,,0)</f>
        <v>Lib</v>
      </c>
      <c r="J248" t="str">
        <f>_xlfn.XLOOKUP(D248,products!$A$1:$A$49,products!$C$1:$C$49,,0)</f>
        <v>D</v>
      </c>
      <c r="K248" s="13">
        <f>_xlfn.XLOOKUP(D248,products!$A$1:$A$49,products!$D$1:$D$49,,0)</f>
        <v>1</v>
      </c>
      <c r="L248" s="5">
        <f>_xlfn.XLOOKUP(D248,products!$A$1:$A$49,products!$E$1:$E$49,,0)</f>
        <v>12.95</v>
      </c>
      <c r="M248">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_xlfn.XLOOKUP(orders!D249,products!$A$1:$A$49,products!$B$1:$B$49,,0)</f>
        <v>Rob</v>
      </c>
      <c r="J249" t="str">
        <f>_xlfn.XLOOKUP(D249,products!$A$1:$A$49,products!$C$1:$C$49,,0)</f>
        <v>L</v>
      </c>
      <c r="K249" s="13">
        <f>_xlfn.XLOOKUP(D249,products!$A$1:$A$49,products!$D$1:$D$49,,0)</f>
        <v>0.2</v>
      </c>
      <c r="L249" s="5">
        <f>_xlfn.XLOOKUP(D249,products!$A$1:$A$49,products!$E$1:$E$49,,0)</f>
        <v>3.5849999999999995</v>
      </c>
      <c r="M249">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_xlfn.XLOOKUP(orders!D250,products!$A$1:$A$49,products!$B$1:$B$49,,0)</f>
        <v>Ara</v>
      </c>
      <c r="J250" t="str">
        <f>_xlfn.XLOOKUP(D250,products!$A$1:$A$49,products!$C$1:$C$49,,0)</f>
        <v>D</v>
      </c>
      <c r="K250" s="13">
        <f>_xlfn.XLOOKUP(D250,products!$A$1:$A$49,products!$D$1:$D$49,,0)</f>
        <v>1</v>
      </c>
      <c r="L250" s="5">
        <f>_xlfn.XLOOKUP(D250,products!$A$1:$A$49,products!$E$1:$E$49,,0)</f>
        <v>9.9499999999999993</v>
      </c>
      <c r="M250">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_xlfn.XLOOKUP(orders!D251,products!$A$1:$A$49,products!$B$1:$B$49,,0)</f>
        <v>Lib</v>
      </c>
      <c r="J251" t="str">
        <f>_xlfn.XLOOKUP(D251,products!$A$1:$A$49,products!$C$1:$C$49,,0)</f>
        <v>L</v>
      </c>
      <c r="K251" s="13">
        <f>_xlfn.XLOOKUP(D251,products!$A$1:$A$49,products!$D$1:$D$49,,0)</f>
        <v>1</v>
      </c>
      <c r="L251" s="5">
        <f>_xlfn.XLOOKUP(D251,products!$A$1:$A$49,products!$E$1:$E$49,,0)</f>
        <v>15.85</v>
      </c>
      <c r="M251">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_xlfn.XLOOKUP(orders!D252,products!$A$1:$A$49,products!$B$1:$B$49,,0)</f>
        <v>Rob</v>
      </c>
      <c r="J252" t="str">
        <f>_xlfn.XLOOKUP(D252,products!$A$1:$A$49,products!$C$1:$C$49,,0)</f>
        <v>M</v>
      </c>
      <c r="K252" s="13">
        <f>_xlfn.XLOOKUP(D252,products!$A$1:$A$49,products!$D$1:$D$49,,0)</f>
        <v>0.2</v>
      </c>
      <c r="L252" s="5">
        <f>_xlfn.XLOOKUP(D252,products!$A$1:$A$49,products!$E$1:$E$49,,0)</f>
        <v>2.9849999999999999</v>
      </c>
      <c r="M252">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_xlfn.XLOOKUP(orders!D253,products!$A$1:$A$49,products!$B$1:$B$49,,0)</f>
        <v>Exc</v>
      </c>
      <c r="J253" t="str">
        <f>_xlfn.XLOOKUP(D253,products!$A$1:$A$49,products!$C$1:$C$49,,0)</f>
        <v>M</v>
      </c>
      <c r="K253" s="13">
        <f>_xlfn.XLOOKUP(D253,products!$A$1:$A$49,products!$D$1:$D$49,,0)</f>
        <v>1</v>
      </c>
      <c r="L253" s="5">
        <f>_xlfn.XLOOKUP(D253,products!$A$1:$A$49,products!$E$1:$E$49,,0)</f>
        <v>13.75</v>
      </c>
      <c r="M253">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_xlfn.XLOOKUP(orders!D254,products!$A$1:$A$49,products!$B$1:$B$49,,0)</f>
        <v>Ara</v>
      </c>
      <c r="J254" t="str">
        <f>_xlfn.XLOOKUP(D254,products!$A$1:$A$49,products!$C$1:$C$49,,0)</f>
        <v>D</v>
      </c>
      <c r="K254" s="13">
        <f>_xlfn.XLOOKUP(D254,products!$A$1:$A$49,products!$D$1:$D$49,,0)</f>
        <v>1</v>
      </c>
      <c r="L254" s="5">
        <f>_xlfn.XLOOKUP(D254,products!$A$1:$A$49,products!$E$1:$E$49,,0)</f>
        <v>9.9499999999999993</v>
      </c>
      <c r="M254">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_xlfn.XLOOKUP(orders!D255,products!$A$1:$A$49,products!$B$1:$B$49,,0)</f>
        <v>Lib</v>
      </c>
      <c r="J255" t="str">
        <f>_xlfn.XLOOKUP(D255,products!$A$1:$A$49,products!$C$1:$C$49,,0)</f>
        <v>M</v>
      </c>
      <c r="K255" s="13">
        <f>_xlfn.XLOOKUP(D255,products!$A$1:$A$49,products!$D$1:$D$49,,0)</f>
        <v>1</v>
      </c>
      <c r="L255" s="5">
        <f>_xlfn.XLOOKUP(D255,products!$A$1:$A$49,products!$E$1:$E$49,,0)</f>
        <v>14.55</v>
      </c>
      <c r="M25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_xlfn.XLOOKUP(orders!D256,products!$A$1:$A$49,products!$B$1:$B$49,,0)</f>
        <v>Rob</v>
      </c>
      <c r="J256" t="str">
        <f>_xlfn.XLOOKUP(D256,products!$A$1:$A$49,products!$C$1:$C$49,,0)</f>
        <v>L</v>
      </c>
      <c r="K256" s="13">
        <f>_xlfn.XLOOKUP(D256,products!$A$1:$A$49,products!$D$1:$D$49,,0)</f>
        <v>0.5</v>
      </c>
      <c r="L256" s="5">
        <f>_xlfn.XLOOKUP(D256,products!$A$1:$A$49,products!$E$1:$E$49,,0)</f>
        <v>7.169999999999999</v>
      </c>
      <c r="M256">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_xlfn.XLOOKUP(orders!D257,products!$A$1:$A$49,products!$B$1:$B$49,,0)</f>
        <v>Rob</v>
      </c>
      <c r="J257" t="str">
        <f>_xlfn.XLOOKUP(D257,products!$A$1:$A$49,products!$C$1:$C$49,,0)</f>
        <v>L</v>
      </c>
      <c r="K257" s="13">
        <f>_xlfn.XLOOKUP(D257,products!$A$1:$A$49,products!$D$1:$D$49,,0)</f>
        <v>0.5</v>
      </c>
      <c r="L257" s="5">
        <f>_xlfn.XLOOKUP(D257,products!$A$1:$A$49,products!$E$1:$E$49,,0)</f>
        <v>7.169999999999999</v>
      </c>
      <c r="M257">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_xlfn.XLOOKUP(orders!D258,products!$A$1:$A$49,products!$B$1:$B$49,,0)</f>
        <v>Lib</v>
      </c>
      <c r="J258" t="str">
        <f>_xlfn.XLOOKUP(D258,products!$A$1:$A$49,products!$C$1:$C$49,,0)</f>
        <v>M</v>
      </c>
      <c r="K258" s="13">
        <f>_xlfn.XLOOKUP(D258,products!$A$1:$A$49,products!$D$1:$D$49,,0)</f>
        <v>0.5</v>
      </c>
      <c r="L258" s="5">
        <f>_xlfn.XLOOKUP(D258,products!$A$1:$A$49,products!$E$1:$E$49,,0)</f>
        <v>8.73</v>
      </c>
      <c r="M258">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_xlfn.XLOOKUP(orders!D259,products!$A$1:$A$49,products!$B$1:$B$49,,0)</f>
        <v>Exc</v>
      </c>
      <c r="J259" t="str">
        <f>_xlfn.XLOOKUP(D259,products!$A$1:$A$49,products!$C$1:$C$49,,0)</f>
        <v>D</v>
      </c>
      <c r="K259" s="13">
        <f>_xlfn.XLOOKUP(D259,products!$A$1:$A$49,products!$D$1:$D$49,,0)</f>
        <v>2.5</v>
      </c>
      <c r="L259" s="5">
        <f>_xlfn.XLOOKUP(D259,products!$A$1:$A$49,products!$E$1:$E$49,,0)</f>
        <v>27.945</v>
      </c>
      <c r="M259">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_xlfn.XLOOKUP(orders!D260,products!$A$1:$A$49,products!$B$1:$B$49,,0)</f>
        <v>Exc</v>
      </c>
      <c r="J260" t="str">
        <f>_xlfn.XLOOKUP(D260,products!$A$1:$A$49,products!$C$1:$C$49,,0)</f>
        <v>D</v>
      </c>
      <c r="K260" s="13">
        <f>_xlfn.XLOOKUP(D260,products!$A$1:$A$49,products!$D$1:$D$49,,0)</f>
        <v>2.5</v>
      </c>
      <c r="L260" s="5">
        <f>_xlfn.XLOOKUP(D260,products!$A$1:$A$49,products!$E$1:$E$49,,0)</f>
        <v>27.945</v>
      </c>
      <c r="M260">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_xlfn.XLOOKUP(orders!D261,products!$A$1:$A$49,products!$B$1:$B$49,,0)</f>
        <v>Rob</v>
      </c>
      <c r="J261" t="str">
        <f>_xlfn.XLOOKUP(D261,products!$A$1:$A$49,products!$C$1:$C$49,,0)</f>
        <v>M</v>
      </c>
      <c r="K261" s="13">
        <f>_xlfn.XLOOKUP(D261,products!$A$1:$A$49,products!$D$1:$D$49,,0)</f>
        <v>0.2</v>
      </c>
      <c r="L261" s="5">
        <f>_xlfn.XLOOKUP(D261,products!$A$1:$A$49,products!$E$1:$E$49,,0)</f>
        <v>2.9849999999999999</v>
      </c>
      <c r="M261">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_xlfn.XLOOKUP(orders!D262,products!$A$1:$A$49,products!$B$1:$B$49,,0)</f>
        <v>Rob</v>
      </c>
      <c r="J262" t="str">
        <f>_xlfn.XLOOKUP(D262,products!$A$1:$A$49,products!$C$1:$C$49,,0)</f>
        <v>L</v>
      </c>
      <c r="K262" s="13">
        <f>_xlfn.XLOOKUP(D262,products!$A$1:$A$49,products!$D$1:$D$49,,0)</f>
        <v>2.5</v>
      </c>
      <c r="L262" s="5">
        <f>_xlfn.XLOOKUP(D262,products!$A$1:$A$49,products!$E$1:$E$49,,0)</f>
        <v>27.484999999999996</v>
      </c>
      <c r="M262">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_xlfn.XLOOKUP(orders!D263,products!$A$1:$A$49,products!$B$1:$B$49,,0)</f>
        <v>Rob</v>
      </c>
      <c r="J263" t="str">
        <f>_xlfn.XLOOKUP(D263,products!$A$1:$A$49,products!$C$1:$C$49,,0)</f>
        <v>L</v>
      </c>
      <c r="K263" s="13">
        <f>_xlfn.XLOOKUP(D263,products!$A$1:$A$49,products!$D$1:$D$49,,0)</f>
        <v>1</v>
      </c>
      <c r="L263" s="5">
        <f>_xlfn.XLOOKUP(D263,products!$A$1:$A$49,products!$E$1:$E$49,,0)</f>
        <v>11.95</v>
      </c>
      <c r="M263">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_xlfn.XLOOKUP(orders!D264,products!$A$1:$A$49,products!$B$1:$B$49,,0)</f>
        <v>Exc</v>
      </c>
      <c r="J264" t="str">
        <f>_xlfn.XLOOKUP(D264,products!$A$1:$A$49,products!$C$1:$C$49,,0)</f>
        <v>M</v>
      </c>
      <c r="K264" s="13">
        <f>_xlfn.XLOOKUP(D264,products!$A$1:$A$49,products!$D$1:$D$49,,0)</f>
        <v>1</v>
      </c>
      <c r="L264" s="5">
        <f>_xlfn.XLOOKUP(D264,products!$A$1:$A$49,products!$E$1:$E$49,,0)</f>
        <v>13.75</v>
      </c>
      <c r="M264">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_xlfn.XLOOKUP(orders!D265,products!$A$1:$A$49,products!$B$1:$B$49,,0)</f>
        <v>Lib</v>
      </c>
      <c r="J265" t="str">
        <f>_xlfn.XLOOKUP(D265,products!$A$1:$A$49,products!$C$1:$C$49,,0)</f>
        <v>M</v>
      </c>
      <c r="K265" s="13">
        <f>_xlfn.XLOOKUP(D265,products!$A$1:$A$49,products!$D$1:$D$49,,0)</f>
        <v>2.5</v>
      </c>
      <c r="L265" s="5">
        <f>_xlfn.XLOOKUP(D265,products!$A$1:$A$49,products!$E$1:$E$49,,0)</f>
        <v>33.464999999999996</v>
      </c>
      <c r="M26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_xlfn.XLOOKUP(orders!D266,products!$A$1:$A$49,products!$B$1:$B$49,,0)</f>
        <v>Rob</v>
      </c>
      <c r="J266" t="str">
        <f>_xlfn.XLOOKUP(D266,products!$A$1:$A$49,products!$C$1:$C$49,,0)</f>
        <v>L</v>
      </c>
      <c r="K266" s="13">
        <f>_xlfn.XLOOKUP(D266,products!$A$1:$A$49,products!$D$1:$D$49,,0)</f>
        <v>1</v>
      </c>
      <c r="L266" s="5">
        <f>_xlfn.XLOOKUP(D266,products!$A$1:$A$49,products!$E$1:$E$49,,0)</f>
        <v>11.95</v>
      </c>
      <c r="M266">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_xlfn.XLOOKUP(orders!D267,products!$A$1:$A$49,products!$B$1:$B$49,,0)</f>
        <v>Ara</v>
      </c>
      <c r="J267" t="str">
        <f>_xlfn.XLOOKUP(D267,products!$A$1:$A$49,products!$C$1:$C$49,,0)</f>
        <v>D</v>
      </c>
      <c r="K267" s="13">
        <f>_xlfn.XLOOKUP(D267,products!$A$1:$A$49,products!$D$1:$D$49,,0)</f>
        <v>0.5</v>
      </c>
      <c r="L267" s="5">
        <f>_xlfn.XLOOKUP(D267,products!$A$1:$A$49,products!$E$1:$E$49,,0)</f>
        <v>5.97</v>
      </c>
      <c r="M267">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_xlfn.XLOOKUP(orders!D268,products!$A$1:$A$49,products!$B$1:$B$49,,0)</f>
        <v>Exc</v>
      </c>
      <c r="J268" t="str">
        <f>_xlfn.XLOOKUP(D268,products!$A$1:$A$49,products!$C$1:$C$49,,0)</f>
        <v>D</v>
      </c>
      <c r="K268" s="13">
        <f>_xlfn.XLOOKUP(D268,products!$A$1:$A$49,products!$D$1:$D$49,,0)</f>
        <v>1</v>
      </c>
      <c r="L268" s="5">
        <f>_xlfn.XLOOKUP(D268,products!$A$1:$A$49,products!$E$1:$E$49,,0)</f>
        <v>12.15</v>
      </c>
      <c r="M268">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_xlfn.XLOOKUP(orders!D269,products!$A$1:$A$49,products!$B$1:$B$49,,0)</f>
        <v>Exc</v>
      </c>
      <c r="J269" t="str">
        <f>_xlfn.XLOOKUP(D269,products!$A$1:$A$49,products!$C$1:$C$49,,0)</f>
        <v>D</v>
      </c>
      <c r="K269" s="13">
        <f>_xlfn.XLOOKUP(D269,products!$A$1:$A$49,products!$D$1:$D$49,,0)</f>
        <v>0.2</v>
      </c>
      <c r="L269" s="5">
        <f>_xlfn.XLOOKUP(D269,products!$A$1:$A$49,products!$E$1:$E$49,,0)</f>
        <v>3.645</v>
      </c>
      <c r="M269">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_xlfn.XLOOKUP(orders!D270,products!$A$1:$A$49,products!$B$1:$B$49,,0)</f>
        <v>Ara</v>
      </c>
      <c r="J270" t="str">
        <f>_xlfn.XLOOKUP(D270,products!$A$1:$A$49,products!$C$1:$C$49,,0)</f>
        <v>D</v>
      </c>
      <c r="K270" s="13">
        <f>_xlfn.XLOOKUP(D270,products!$A$1:$A$49,products!$D$1:$D$49,,0)</f>
        <v>1</v>
      </c>
      <c r="L270" s="5">
        <f>_xlfn.XLOOKUP(D270,products!$A$1:$A$49,products!$E$1:$E$49,,0)</f>
        <v>9.9499999999999993</v>
      </c>
      <c r="M270">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_xlfn.XLOOKUP(orders!D271,products!$A$1:$A$49,products!$B$1:$B$49,,0)</f>
        <v>Ara</v>
      </c>
      <c r="J271" t="str">
        <f>_xlfn.XLOOKUP(D271,products!$A$1:$A$49,products!$C$1:$C$49,,0)</f>
        <v>D</v>
      </c>
      <c r="K271" s="13">
        <f>_xlfn.XLOOKUP(D271,products!$A$1:$A$49,products!$D$1:$D$49,,0)</f>
        <v>0.2</v>
      </c>
      <c r="L271" s="5">
        <f>_xlfn.XLOOKUP(D271,products!$A$1:$A$49,products!$E$1:$E$49,,0)</f>
        <v>2.9849999999999999</v>
      </c>
      <c r="M271">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_xlfn.XLOOKUP(orders!D272,products!$A$1:$A$49,products!$B$1:$B$49,,0)</f>
        <v>Exc</v>
      </c>
      <c r="J272" t="str">
        <f>_xlfn.XLOOKUP(D272,products!$A$1:$A$49,products!$C$1:$C$49,,0)</f>
        <v>D</v>
      </c>
      <c r="K272" s="13">
        <f>_xlfn.XLOOKUP(D272,products!$A$1:$A$49,products!$D$1:$D$49,,0)</f>
        <v>0.5</v>
      </c>
      <c r="L272" s="5">
        <f>_xlfn.XLOOKUP(D272,products!$A$1:$A$49,products!$E$1:$E$49,,0)</f>
        <v>7.29</v>
      </c>
      <c r="M272">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_xlfn.XLOOKUP(orders!D273,products!$A$1:$A$49,products!$B$1:$B$49,,0)</f>
        <v>Ara</v>
      </c>
      <c r="J273" t="str">
        <f>_xlfn.XLOOKUP(D273,products!$A$1:$A$49,products!$C$1:$C$49,,0)</f>
        <v>D</v>
      </c>
      <c r="K273" s="13">
        <f>_xlfn.XLOOKUP(D273,products!$A$1:$A$49,products!$D$1:$D$49,,0)</f>
        <v>0.2</v>
      </c>
      <c r="L273" s="5">
        <f>_xlfn.XLOOKUP(D273,products!$A$1:$A$49,products!$E$1:$E$49,,0)</f>
        <v>2.9849999999999999</v>
      </c>
      <c r="M273">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_xlfn.XLOOKUP(orders!D274,products!$A$1:$A$49,products!$B$1:$B$49,,0)</f>
        <v>Rob</v>
      </c>
      <c r="J274" t="str">
        <f>_xlfn.XLOOKUP(D274,products!$A$1:$A$49,products!$C$1:$C$49,,0)</f>
        <v>L</v>
      </c>
      <c r="K274" s="13">
        <f>_xlfn.XLOOKUP(D274,products!$A$1:$A$49,products!$D$1:$D$49,,0)</f>
        <v>1</v>
      </c>
      <c r="L274" s="5">
        <f>_xlfn.XLOOKUP(D274,products!$A$1:$A$49,products!$E$1:$E$49,,0)</f>
        <v>11.95</v>
      </c>
      <c r="M274">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_xlfn.XLOOKUP(orders!D275,products!$A$1:$A$49,products!$B$1:$B$49,,0)</f>
        <v>Ara</v>
      </c>
      <c r="J275" t="str">
        <f>_xlfn.XLOOKUP(D275,products!$A$1:$A$49,products!$C$1:$C$49,,0)</f>
        <v>L</v>
      </c>
      <c r="K275" s="13">
        <f>_xlfn.XLOOKUP(D275,products!$A$1:$A$49,products!$D$1:$D$49,,0)</f>
        <v>0.2</v>
      </c>
      <c r="L275" s="5">
        <f>_xlfn.XLOOKUP(D275,products!$A$1:$A$49,products!$E$1:$E$49,,0)</f>
        <v>3.8849999999999998</v>
      </c>
      <c r="M27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_xlfn.XLOOKUP(orders!D276,products!$A$1:$A$49,products!$B$1:$B$49,,0)</f>
        <v>Ara</v>
      </c>
      <c r="J276" t="str">
        <f>_xlfn.XLOOKUP(D276,products!$A$1:$A$49,products!$C$1:$C$49,,0)</f>
        <v>M</v>
      </c>
      <c r="K276" s="13">
        <f>_xlfn.XLOOKUP(D276,products!$A$1:$A$49,products!$D$1:$D$49,,0)</f>
        <v>2.5</v>
      </c>
      <c r="L276" s="5">
        <f>_xlfn.XLOOKUP(D276,products!$A$1:$A$49,products!$E$1:$E$49,,0)</f>
        <v>25.874999999999996</v>
      </c>
      <c r="M276">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_xlfn.XLOOKUP(orders!D277,products!$A$1:$A$49,products!$B$1:$B$49,,0)</f>
        <v>Exc</v>
      </c>
      <c r="J277" t="str">
        <f>_xlfn.XLOOKUP(D277,products!$A$1:$A$49,products!$C$1:$C$49,,0)</f>
        <v>L</v>
      </c>
      <c r="K277" s="13">
        <f>_xlfn.XLOOKUP(D277,products!$A$1:$A$49,products!$D$1:$D$49,,0)</f>
        <v>2.5</v>
      </c>
      <c r="L277" s="5">
        <f>_xlfn.XLOOKUP(D277,products!$A$1:$A$49,products!$E$1:$E$49,,0)</f>
        <v>34.154999999999994</v>
      </c>
      <c r="M277">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_xlfn.XLOOKUP(orders!D278,products!$A$1:$A$49,products!$B$1:$B$49,,0)</f>
        <v>Rob</v>
      </c>
      <c r="J278" t="str">
        <f>_xlfn.XLOOKUP(D278,products!$A$1:$A$49,products!$C$1:$C$49,,0)</f>
        <v>L</v>
      </c>
      <c r="K278" s="13">
        <f>_xlfn.XLOOKUP(D278,products!$A$1:$A$49,products!$D$1:$D$49,,0)</f>
        <v>2.5</v>
      </c>
      <c r="L278" s="5">
        <f>_xlfn.XLOOKUP(D278,products!$A$1:$A$49,products!$E$1:$E$49,,0)</f>
        <v>27.484999999999996</v>
      </c>
      <c r="M278">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_xlfn.XLOOKUP(orders!D279,products!$A$1:$A$49,products!$B$1:$B$49,,0)</f>
        <v>Exc</v>
      </c>
      <c r="J279" t="str">
        <f>_xlfn.XLOOKUP(D279,products!$A$1:$A$49,products!$C$1:$C$49,,0)</f>
        <v>L</v>
      </c>
      <c r="K279" s="13">
        <f>_xlfn.XLOOKUP(D279,products!$A$1:$A$49,products!$D$1:$D$49,,0)</f>
        <v>1</v>
      </c>
      <c r="L279" s="5">
        <f>_xlfn.XLOOKUP(D279,products!$A$1:$A$49,products!$E$1:$E$49,,0)</f>
        <v>14.85</v>
      </c>
      <c r="M279">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_xlfn.XLOOKUP(orders!D280,products!$A$1:$A$49,products!$B$1:$B$49,,0)</f>
        <v>Ara</v>
      </c>
      <c r="J280" t="str">
        <f>_xlfn.XLOOKUP(D280,products!$A$1:$A$49,products!$C$1:$C$49,,0)</f>
        <v>L</v>
      </c>
      <c r="K280" s="13">
        <f>_xlfn.XLOOKUP(D280,products!$A$1:$A$49,products!$D$1:$D$49,,0)</f>
        <v>0.2</v>
      </c>
      <c r="L280" s="5">
        <f>_xlfn.XLOOKUP(D280,products!$A$1:$A$49,products!$E$1:$E$49,,0)</f>
        <v>3.8849999999999998</v>
      </c>
      <c r="M280">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_xlfn.XLOOKUP(orders!D281,products!$A$1:$A$49,products!$B$1:$B$49,,0)</f>
        <v>Lib</v>
      </c>
      <c r="J281" t="str">
        <f>_xlfn.XLOOKUP(D281,products!$A$1:$A$49,products!$C$1:$C$49,,0)</f>
        <v>M</v>
      </c>
      <c r="K281" s="13">
        <f>_xlfn.XLOOKUP(D281,products!$A$1:$A$49,products!$D$1:$D$49,,0)</f>
        <v>2.5</v>
      </c>
      <c r="L281" s="5">
        <f>_xlfn.XLOOKUP(D281,products!$A$1:$A$49,products!$E$1:$E$49,,0)</f>
        <v>33.464999999999996</v>
      </c>
      <c r="M281">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_xlfn.XLOOKUP(orders!D282,products!$A$1:$A$49,products!$B$1:$B$49,,0)</f>
        <v>Exc</v>
      </c>
      <c r="J282" t="str">
        <f>_xlfn.XLOOKUP(D282,products!$A$1:$A$49,products!$C$1:$C$49,,0)</f>
        <v>M</v>
      </c>
      <c r="K282" s="13">
        <f>_xlfn.XLOOKUP(D282,products!$A$1:$A$49,products!$D$1:$D$49,,0)</f>
        <v>0.5</v>
      </c>
      <c r="L282" s="5">
        <f>_xlfn.XLOOKUP(D282,products!$A$1:$A$49,products!$E$1:$E$49,,0)</f>
        <v>8.25</v>
      </c>
      <c r="M282">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_xlfn.XLOOKUP(orders!D283,products!$A$1:$A$49,products!$B$1:$B$49,,0)</f>
        <v>Exc</v>
      </c>
      <c r="J283" t="str">
        <f>_xlfn.XLOOKUP(D283,products!$A$1:$A$49,products!$C$1:$C$49,,0)</f>
        <v>L</v>
      </c>
      <c r="K283" s="13">
        <f>_xlfn.XLOOKUP(D283,products!$A$1:$A$49,products!$D$1:$D$49,,0)</f>
        <v>1</v>
      </c>
      <c r="L283" s="5">
        <f>_xlfn.XLOOKUP(D283,products!$A$1:$A$49,products!$E$1:$E$49,,0)</f>
        <v>14.85</v>
      </c>
      <c r="M283">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_xlfn.XLOOKUP(orders!D284,products!$A$1:$A$49,products!$B$1:$B$49,,0)</f>
        <v>Ara</v>
      </c>
      <c r="J284" t="str">
        <f>_xlfn.XLOOKUP(D284,products!$A$1:$A$49,products!$C$1:$C$49,,0)</f>
        <v>L</v>
      </c>
      <c r="K284" s="13">
        <f>_xlfn.XLOOKUP(D284,products!$A$1:$A$49,products!$D$1:$D$49,,0)</f>
        <v>0.5</v>
      </c>
      <c r="L284" s="5">
        <f>_xlfn.XLOOKUP(D284,products!$A$1:$A$49,products!$E$1:$E$49,,0)</f>
        <v>7.77</v>
      </c>
      <c r="M284">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_xlfn.XLOOKUP(orders!D285,products!$A$1:$A$49,products!$B$1:$B$49,,0)</f>
        <v>Rob</v>
      </c>
      <c r="J285" t="str">
        <f>_xlfn.XLOOKUP(D285,products!$A$1:$A$49,products!$C$1:$C$49,,0)</f>
        <v>D</v>
      </c>
      <c r="K285" s="13">
        <f>_xlfn.XLOOKUP(D285,products!$A$1:$A$49,products!$D$1:$D$49,,0)</f>
        <v>0.5</v>
      </c>
      <c r="L285" s="5">
        <f>_xlfn.XLOOKUP(D285,products!$A$1:$A$49,products!$E$1:$E$49,,0)</f>
        <v>5.3699999999999992</v>
      </c>
      <c r="M28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_xlfn.XLOOKUP(orders!D286,products!$A$1:$A$49,products!$B$1:$B$49,,0)</f>
        <v>Exc</v>
      </c>
      <c r="J286" t="str">
        <f>_xlfn.XLOOKUP(D286,products!$A$1:$A$49,products!$C$1:$C$49,,0)</f>
        <v>M</v>
      </c>
      <c r="K286" s="13">
        <f>_xlfn.XLOOKUP(D286,products!$A$1:$A$49,products!$D$1:$D$49,,0)</f>
        <v>2.5</v>
      </c>
      <c r="L286" s="5">
        <f>_xlfn.XLOOKUP(D286,products!$A$1:$A$49,products!$E$1:$E$49,,0)</f>
        <v>31.624999999999996</v>
      </c>
      <c r="M286">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_xlfn.XLOOKUP(orders!D287,products!$A$1:$A$49,products!$B$1:$B$49,,0)</f>
        <v>Lib</v>
      </c>
      <c r="J287" t="str">
        <f>_xlfn.XLOOKUP(D287,products!$A$1:$A$49,products!$C$1:$C$49,,0)</f>
        <v>L</v>
      </c>
      <c r="K287" s="13">
        <f>_xlfn.XLOOKUP(D287,products!$A$1:$A$49,products!$D$1:$D$49,,0)</f>
        <v>2.5</v>
      </c>
      <c r="L287" s="5">
        <f>_xlfn.XLOOKUP(D287,products!$A$1:$A$49,products!$E$1:$E$49,,0)</f>
        <v>36.454999999999998</v>
      </c>
      <c r="M287">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_xlfn.XLOOKUP(orders!D288,products!$A$1:$A$49,products!$B$1:$B$49,,0)</f>
        <v>Ara</v>
      </c>
      <c r="J288" t="str">
        <f>_xlfn.XLOOKUP(D288,products!$A$1:$A$49,products!$C$1:$C$49,,0)</f>
        <v>M</v>
      </c>
      <c r="K288" s="13">
        <f>_xlfn.XLOOKUP(D288,products!$A$1:$A$49,products!$D$1:$D$49,,0)</f>
        <v>0.2</v>
      </c>
      <c r="L288" s="5">
        <f>_xlfn.XLOOKUP(D288,products!$A$1:$A$49,products!$E$1:$E$49,,0)</f>
        <v>3.375</v>
      </c>
      <c r="M288">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_xlfn.XLOOKUP(orders!D289,products!$A$1:$A$49,products!$B$1:$B$49,,0)</f>
        <v>Rob</v>
      </c>
      <c r="J289" t="str">
        <f>_xlfn.XLOOKUP(D289,products!$A$1:$A$49,products!$C$1:$C$49,,0)</f>
        <v>L</v>
      </c>
      <c r="K289" s="13">
        <f>_xlfn.XLOOKUP(D289,products!$A$1:$A$49,products!$D$1:$D$49,,0)</f>
        <v>0.2</v>
      </c>
      <c r="L289" s="5">
        <f>_xlfn.XLOOKUP(D289,products!$A$1:$A$49,products!$E$1:$E$49,,0)</f>
        <v>3.5849999999999995</v>
      </c>
      <c r="M289">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_xlfn.XLOOKUP(orders!D290,products!$A$1:$A$49,products!$B$1:$B$49,,0)</f>
        <v>Exc</v>
      </c>
      <c r="J290" t="str">
        <f>_xlfn.XLOOKUP(D290,products!$A$1:$A$49,products!$C$1:$C$49,,0)</f>
        <v>M</v>
      </c>
      <c r="K290" s="13">
        <f>_xlfn.XLOOKUP(D290,products!$A$1:$A$49,products!$D$1:$D$49,,0)</f>
        <v>0.5</v>
      </c>
      <c r="L290" s="5">
        <f>_xlfn.XLOOKUP(D290,products!$A$1:$A$49,products!$E$1:$E$49,,0)</f>
        <v>8.25</v>
      </c>
      <c r="M290">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_xlfn.XLOOKUP(orders!D291,products!$A$1:$A$49,products!$B$1:$B$49,,0)</f>
        <v>Rob</v>
      </c>
      <c r="J291" t="str">
        <f>_xlfn.XLOOKUP(D291,products!$A$1:$A$49,products!$C$1:$C$49,,0)</f>
        <v>D</v>
      </c>
      <c r="K291" s="13">
        <f>_xlfn.XLOOKUP(D291,products!$A$1:$A$49,products!$D$1:$D$49,,0)</f>
        <v>0.2</v>
      </c>
      <c r="L291" s="5">
        <f>_xlfn.XLOOKUP(D291,products!$A$1:$A$49,products!$E$1:$E$49,,0)</f>
        <v>2.6849999999999996</v>
      </c>
      <c r="M291">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_xlfn.XLOOKUP(orders!D292,products!$A$1:$A$49,products!$B$1:$B$49,,0)</f>
        <v>Ara</v>
      </c>
      <c r="J292" t="str">
        <f>_xlfn.XLOOKUP(D292,products!$A$1:$A$49,products!$C$1:$C$49,,0)</f>
        <v>D</v>
      </c>
      <c r="K292" s="13">
        <f>_xlfn.XLOOKUP(D292,products!$A$1:$A$49,products!$D$1:$D$49,,0)</f>
        <v>1</v>
      </c>
      <c r="L292" s="5">
        <f>_xlfn.XLOOKUP(D292,products!$A$1:$A$49,products!$E$1:$E$49,,0)</f>
        <v>9.9499999999999993</v>
      </c>
      <c r="M292">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_xlfn.XLOOKUP(orders!D293,products!$A$1:$A$49,products!$B$1:$B$49,,0)</f>
        <v>Exc</v>
      </c>
      <c r="J293" t="str">
        <f>_xlfn.XLOOKUP(D293,products!$A$1:$A$49,products!$C$1:$C$49,,0)</f>
        <v>M</v>
      </c>
      <c r="K293" s="13">
        <f>_xlfn.XLOOKUP(D293,products!$A$1:$A$49,products!$D$1:$D$49,,0)</f>
        <v>0.5</v>
      </c>
      <c r="L293" s="5">
        <f>_xlfn.XLOOKUP(D293,products!$A$1:$A$49,products!$E$1:$E$49,,0)</f>
        <v>8.25</v>
      </c>
      <c r="M293">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_xlfn.XLOOKUP(orders!D294,products!$A$1:$A$49,products!$B$1:$B$49,,0)</f>
        <v>Ara</v>
      </c>
      <c r="J294" t="str">
        <f>_xlfn.XLOOKUP(D294,products!$A$1:$A$49,products!$C$1:$C$49,,0)</f>
        <v>D</v>
      </c>
      <c r="K294" s="13">
        <f>_xlfn.XLOOKUP(D294,products!$A$1:$A$49,products!$D$1:$D$49,,0)</f>
        <v>0.5</v>
      </c>
      <c r="L294" s="5">
        <f>_xlfn.XLOOKUP(D294,products!$A$1:$A$49,products!$E$1:$E$49,,0)</f>
        <v>5.97</v>
      </c>
      <c r="M294">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_xlfn.XLOOKUP(orders!D295,products!$A$1:$A$49,products!$B$1:$B$49,,0)</f>
        <v>Ara</v>
      </c>
      <c r="J295" t="str">
        <f>_xlfn.XLOOKUP(D295,products!$A$1:$A$49,products!$C$1:$C$49,,0)</f>
        <v>D</v>
      </c>
      <c r="K295" s="13">
        <f>_xlfn.XLOOKUP(D295,products!$A$1:$A$49,products!$D$1:$D$49,,0)</f>
        <v>0.5</v>
      </c>
      <c r="L295" s="5">
        <f>_xlfn.XLOOKUP(D295,products!$A$1:$A$49,products!$E$1:$E$49,,0)</f>
        <v>5.97</v>
      </c>
      <c r="M29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_xlfn.XLOOKUP(orders!D296,products!$A$1:$A$49,products!$B$1:$B$49,,0)</f>
        <v>Exc</v>
      </c>
      <c r="J296" t="str">
        <f>_xlfn.XLOOKUP(D296,products!$A$1:$A$49,products!$C$1:$C$49,,0)</f>
        <v>L</v>
      </c>
      <c r="K296" s="13">
        <f>_xlfn.XLOOKUP(D296,products!$A$1:$A$49,products!$D$1:$D$49,,0)</f>
        <v>1</v>
      </c>
      <c r="L296" s="5">
        <f>_xlfn.XLOOKUP(D296,products!$A$1:$A$49,products!$E$1:$E$49,,0)</f>
        <v>14.85</v>
      </c>
      <c r="M296">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_xlfn.XLOOKUP(orders!D297,products!$A$1:$A$49,products!$B$1:$B$49,,0)</f>
        <v>Exc</v>
      </c>
      <c r="J297" t="str">
        <f>_xlfn.XLOOKUP(D297,products!$A$1:$A$49,products!$C$1:$C$49,,0)</f>
        <v>M</v>
      </c>
      <c r="K297" s="13">
        <f>_xlfn.XLOOKUP(D297,products!$A$1:$A$49,products!$D$1:$D$49,,0)</f>
        <v>1</v>
      </c>
      <c r="L297" s="5">
        <f>_xlfn.XLOOKUP(D297,products!$A$1:$A$49,products!$E$1:$E$49,,0)</f>
        <v>13.75</v>
      </c>
      <c r="M297">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_xlfn.XLOOKUP(orders!D298,products!$A$1:$A$49,products!$B$1:$B$49,,0)</f>
        <v>Rob</v>
      </c>
      <c r="J298" t="str">
        <f>_xlfn.XLOOKUP(D298,products!$A$1:$A$49,products!$C$1:$C$49,,0)</f>
        <v>M</v>
      </c>
      <c r="K298" s="13">
        <f>_xlfn.XLOOKUP(D298,products!$A$1:$A$49,products!$D$1:$D$49,,0)</f>
        <v>0.5</v>
      </c>
      <c r="L298" s="5">
        <f>_xlfn.XLOOKUP(D298,products!$A$1:$A$49,products!$E$1:$E$49,,0)</f>
        <v>5.97</v>
      </c>
      <c r="M298">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_xlfn.XLOOKUP(orders!D299,products!$A$1:$A$49,products!$B$1:$B$49,,0)</f>
        <v>Rob</v>
      </c>
      <c r="J299" t="str">
        <f>_xlfn.XLOOKUP(D299,products!$A$1:$A$49,products!$C$1:$C$49,,0)</f>
        <v>D</v>
      </c>
      <c r="K299" s="13">
        <f>_xlfn.XLOOKUP(D299,products!$A$1:$A$49,products!$D$1:$D$49,,0)</f>
        <v>0.5</v>
      </c>
      <c r="L299" s="5">
        <f>_xlfn.XLOOKUP(D299,products!$A$1:$A$49,products!$E$1:$E$49,,0)</f>
        <v>5.3699999999999992</v>
      </c>
      <c r="M299">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_xlfn.XLOOKUP(orders!D300,products!$A$1:$A$49,products!$B$1:$B$49,,0)</f>
        <v>Exc</v>
      </c>
      <c r="J300" t="str">
        <f>_xlfn.XLOOKUP(D300,products!$A$1:$A$49,products!$C$1:$C$49,,0)</f>
        <v>L</v>
      </c>
      <c r="K300" s="13">
        <f>_xlfn.XLOOKUP(D300,products!$A$1:$A$49,products!$D$1:$D$49,,0)</f>
        <v>0.2</v>
      </c>
      <c r="L300" s="5">
        <f>_xlfn.XLOOKUP(D300,products!$A$1:$A$49,products!$E$1:$E$49,,0)</f>
        <v>4.4550000000000001</v>
      </c>
      <c r="M300">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_xlfn.XLOOKUP(orders!D301,products!$A$1:$A$49,products!$B$1:$B$49,,0)</f>
        <v>Exc</v>
      </c>
      <c r="J301" t="str">
        <f>_xlfn.XLOOKUP(D301,products!$A$1:$A$49,products!$C$1:$C$49,,0)</f>
        <v>L</v>
      </c>
      <c r="K301" s="13">
        <f>_xlfn.XLOOKUP(D301,products!$A$1:$A$49,products!$D$1:$D$49,,0)</f>
        <v>2.5</v>
      </c>
      <c r="L301" s="5">
        <f>_xlfn.XLOOKUP(D301,products!$A$1:$A$49,products!$E$1:$E$49,,0)</f>
        <v>34.154999999999994</v>
      </c>
      <c r="M301">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_xlfn.XLOOKUP(orders!D302,products!$A$1:$A$49,products!$B$1:$B$49,,0)</f>
        <v>Ara</v>
      </c>
      <c r="J302" t="str">
        <f>_xlfn.XLOOKUP(D302,products!$A$1:$A$49,products!$C$1:$C$49,,0)</f>
        <v>L</v>
      </c>
      <c r="K302" s="13">
        <f>_xlfn.XLOOKUP(D302,products!$A$1:$A$49,products!$D$1:$D$49,,0)</f>
        <v>1</v>
      </c>
      <c r="L302" s="5">
        <f>_xlfn.XLOOKUP(D302,products!$A$1:$A$49,products!$E$1:$E$49,,0)</f>
        <v>12.95</v>
      </c>
      <c r="M302">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_xlfn.XLOOKUP(orders!D303,products!$A$1:$A$49,products!$B$1:$B$49,,0)</f>
        <v>Lib</v>
      </c>
      <c r="J303" t="str">
        <f>_xlfn.XLOOKUP(D303,products!$A$1:$A$49,products!$C$1:$C$49,,0)</f>
        <v>D</v>
      </c>
      <c r="K303" s="13">
        <f>_xlfn.XLOOKUP(D303,products!$A$1:$A$49,products!$D$1:$D$49,,0)</f>
        <v>0.2</v>
      </c>
      <c r="L303" s="5">
        <f>_xlfn.XLOOKUP(D303,products!$A$1:$A$49,products!$E$1:$E$49,,0)</f>
        <v>3.8849999999999998</v>
      </c>
      <c r="M303">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_xlfn.XLOOKUP(orders!D304,products!$A$1:$A$49,products!$B$1:$B$49,,0)</f>
        <v>Ara</v>
      </c>
      <c r="J304" t="str">
        <f>_xlfn.XLOOKUP(D304,products!$A$1:$A$49,products!$C$1:$C$49,,0)</f>
        <v>M</v>
      </c>
      <c r="K304" s="13">
        <f>_xlfn.XLOOKUP(D304,products!$A$1:$A$49,products!$D$1:$D$49,,0)</f>
        <v>0.5</v>
      </c>
      <c r="L304" s="5">
        <f>_xlfn.XLOOKUP(D304,products!$A$1:$A$49,products!$E$1:$E$49,,0)</f>
        <v>6.75</v>
      </c>
      <c r="M304">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_xlfn.XLOOKUP(orders!D305,products!$A$1:$A$49,products!$B$1:$B$49,,0)</f>
        <v>Exc</v>
      </c>
      <c r="J305" t="str">
        <f>_xlfn.XLOOKUP(D305,products!$A$1:$A$49,products!$C$1:$C$49,,0)</f>
        <v>D</v>
      </c>
      <c r="K305" s="13">
        <f>_xlfn.XLOOKUP(D305,products!$A$1:$A$49,products!$D$1:$D$49,,0)</f>
        <v>2.5</v>
      </c>
      <c r="L305" s="5">
        <f>_xlfn.XLOOKUP(D305,products!$A$1:$A$49,products!$E$1:$E$49,,0)</f>
        <v>27.945</v>
      </c>
      <c r="M30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_xlfn.XLOOKUP(orders!D306,products!$A$1:$A$49,products!$B$1:$B$49,,0)</f>
        <v>Ara</v>
      </c>
      <c r="J306" t="str">
        <f>_xlfn.XLOOKUP(D306,products!$A$1:$A$49,products!$C$1:$C$49,,0)</f>
        <v>L</v>
      </c>
      <c r="K306" s="13">
        <f>_xlfn.XLOOKUP(D306,products!$A$1:$A$49,products!$D$1:$D$49,,0)</f>
        <v>0.2</v>
      </c>
      <c r="L306" s="5">
        <f>_xlfn.XLOOKUP(D306,products!$A$1:$A$49,products!$E$1:$E$49,,0)</f>
        <v>3.8849999999999998</v>
      </c>
      <c r="M306">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_xlfn.XLOOKUP(orders!D307,products!$A$1:$A$49,products!$B$1:$B$49,,0)</f>
        <v>Lib</v>
      </c>
      <c r="J307" t="str">
        <f>_xlfn.XLOOKUP(D307,products!$A$1:$A$49,products!$C$1:$C$49,,0)</f>
        <v>M</v>
      </c>
      <c r="K307" s="13">
        <f>_xlfn.XLOOKUP(D307,products!$A$1:$A$49,products!$D$1:$D$49,,0)</f>
        <v>0.2</v>
      </c>
      <c r="L307" s="5">
        <f>_xlfn.XLOOKUP(D307,products!$A$1:$A$49,products!$E$1:$E$49,,0)</f>
        <v>4.3650000000000002</v>
      </c>
      <c r="M307">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_xlfn.XLOOKUP(orders!D308,products!$A$1:$A$49,products!$B$1:$B$49,,0)</f>
        <v>Rob</v>
      </c>
      <c r="J308" t="str">
        <f>_xlfn.XLOOKUP(D308,products!$A$1:$A$49,products!$C$1:$C$49,,0)</f>
        <v>M</v>
      </c>
      <c r="K308" s="13">
        <f>_xlfn.XLOOKUP(D308,products!$A$1:$A$49,products!$D$1:$D$49,,0)</f>
        <v>0.2</v>
      </c>
      <c r="L308" s="5">
        <f>_xlfn.XLOOKUP(D308,products!$A$1:$A$49,products!$E$1:$E$49,,0)</f>
        <v>2.9849999999999999</v>
      </c>
      <c r="M308">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_xlfn.XLOOKUP(orders!D309,products!$A$1:$A$49,products!$B$1:$B$49,,0)</f>
        <v>Ara</v>
      </c>
      <c r="J309" t="str">
        <f>_xlfn.XLOOKUP(D309,products!$A$1:$A$49,products!$C$1:$C$49,,0)</f>
        <v>M</v>
      </c>
      <c r="K309" s="13">
        <f>_xlfn.XLOOKUP(D309,products!$A$1:$A$49,products!$D$1:$D$49,,0)</f>
        <v>1</v>
      </c>
      <c r="L309" s="5">
        <f>_xlfn.XLOOKUP(D309,products!$A$1:$A$49,products!$E$1:$E$49,,0)</f>
        <v>11.25</v>
      </c>
      <c r="M309">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_xlfn.XLOOKUP(orders!D310,products!$A$1:$A$49,products!$B$1:$B$49,,0)</f>
        <v>Ara</v>
      </c>
      <c r="J310" t="str">
        <f>_xlfn.XLOOKUP(D310,products!$A$1:$A$49,products!$C$1:$C$49,,0)</f>
        <v>M</v>
      </c>
      <c r="K310" s="13">
        <f>_xlfn.XLOOKUP(D310,products!$A$1:$A$49,products!$D$1:$D$49,,0)</f>
        <v>1</v>
      </c>
      <c r="L310" s="5">
        <f>_xlfn.XLOOKUP(D310,products!$A$1:$A$49,products!$E$1:$E$49,,0)</f>
        <v>11.25</v>
      </c>
      <c r="M310">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_xlfn.XLOOKUP(orders!D311,products!$A$1:$A$49,products!$B$1:$B$49,,0)</f>
        <v>Lib</v>
      </c>
      <c r="J311" t="str">
        <f>_xlfn.XLOOKUP(D311,products!$A$1:$A$49,products!$C$1:$C$49,,0)</f>
        <v>M</v>
      </c>
      <c r="K311" s="13">
        <f>_xlfn.XLOOKUP(D311,products!$A$1:$A$49,products!$D$1:$D$49,,0)</f>
        <v>0.2</v>
      </c>
      <c r="L311" s="5">
        <f>_xlfn.XLOOKUP(D311,products!$A$1:$A$49,products!$E$1:$E$49,,0)</f>
        <v>4.3650000000000002</v>
      </c>
      <c r="M311">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_xlfn.XLOOKUP(orders!D312,products!$A$1:$A$49,products!$B$1:$B$49,,0)</f>
        <v>Exc</v>
      </c>
      <c r="J312" t="str">
        <f>_xlfn.XLOOKUP(D312,products!$A$1:$A$49,products!$C$1:$C$49,,0)</f>
        <v>L</v>
      </c>
      <c r="K312" s="13">
        <f>_xlfn.XLOOKUP(D312,products!$A$1:$A$49,products!$D$1:$D$49,,0)</f>
        <v>1</v>
      </c>
      <c r="L312" s="5">
        <f>_xlfn.XLOOKUP(D312,products!$A$1:$A$49,products!$E$1:$E$49,,0)</f>
        <v>14.85</v>
      </c>
      <c r="M312">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_xlfn.XLOOKUP(orders!D313,products!$A$1:$A$49,products!$B$1:$B$49,,0)</f>
        <v>Exc</v>
      </c>
      <c r="J313" t="str">
        <f>_xlfn.XLOOKUP(D313,products!$A$1:$A$49,products!$C$1:$C$49,,0)</f>
        <v>M</v>
      </c>
      <c r="K313" s="13">
        <f>_xlfn.XLOOKUP(D313,products!$A$1:$A$49,products!$D$1:$D$49,,0)</f>
        <v>2.5</v>
      </c>
      <c r="L313" s="5">
        <f>_xlfn.XLOOKUP(D313,products!$A$1:$A$49,products!$E$1:$E$49,,0)</f>
        <v>31.624999999999996</v>
      </c>
      <c r="M313">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_xlfn.XLOOKUP(orders!D314,products!$A$1:$A$49,products!$B$1:$B$49,,0)</f>
        <v>Rob</v>
      </c>
      <c r="J314" t="str">
        <f>_xlfn.XLOOKUP(D314,products!$A$1:$A$49,products!$C$1:$C$49,,0)</f>
        <v>M</v>
      </c>
      <c r="K314" s="13">
        <f>_xlfn.XLOOKUP(D314,products!$A$1:$A$49,products!$D$1:$D$49,,0)</f>
        <v>0.5</v>
      </c>
      <c r="L314" s="5">
        <f>_xlfn.XLOOKUP(D314,products!$A$1:$A$49,products!$E$1:$E$49,,0)</f>
        <v>5.97</v>
      </c>
      <c r="M314">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_xlfn.XLOOKUP(orders!D315,products!$A$1:$A$49,products!$B$1:$B$49,,0)</f>
        <v>Rob</v>
      </c>
      <c r="J315" t="str">
        <f>_xlfn.XLOOKUP(D315,products!$A$1:$A$49,products!$C$1:$C$49,,0)</f>
        <v>M</v>
      </c>
      <c r="K315" s="13">
        <f>_xlfn.XLOOKUP(D315,products!$A$1:$A$49,products!$D$1:$D$49,,0)</f>
        <v>1</v>
      </c>
      <c r="L315" s="5">
        <f>_xlfn.XLOOKUP(D315,products!$A$1:$A$49,products!$E$1:$E$49,,0)</f>
        <v>9.9499999999999993</v>
      </c>
      <c r="M31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_xlfn.XLOOKUP(orders!D316,products!$A$1:$A$49,products!$B$1:$B$49,,0)</f>
        <v>Rob</v>
      </c>
      <c r="J316" t="str">
        <f>_xlfn.XLOOKUP(D316,products!$A$1:$A$49,products!$C$1:$C$49,,0)</f>
        <v>D</v>
      </c>
      <c r="K316" s="13">
        <f>_xlfn.XLOOKUP(D316,products!$A$1:$A$49,products!$D$1:$D$49,,0)</f>
        <v>1</v>
      </c>
      <c r="L316" s="5">
        <f>_xlfn.XLOOKUP(D316,products!$A$1:$A$49,products!$E$1:$E$49,,0)</f>
        <v>8.9499999999999993</v>
      </c>
      <c r="M316">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_xlfn.XLOOKUP(orders!D317,products!$A$1:$A$49,products!$B$1:$B$49,,0)</f>
        <v>Exc</v>
      </c>
      <c r="J317" t="str">
        <f>_xlfn.XLOOKUP(D317,products!$A$1:$A$49,products!$C$1:$C$49,,0)</f>
        <v>L</v>
      </c>
      <c r="K317" s="13">
        <f>_xlfn.XLOOKUP(D317,products!$A$1:$A$49,products!$D$1:$D$49,,0)</f>
        <v>2.5</v>
      </c>
      <c r="L317" s="5">
        <f>_xlfn.XLOOKUP(D317,products!$A$1:$A$49,products!$E$1:$E$49,,0)</f>
        <v>34.154999999999994</v>
      </c>
      <c r="M317">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_xlfn.XLOOKUP(orders!D318,products!$A$1:$A$49,products!$B$1:$B$49,,0)</f>
        <v>Exc</v>
      </c>
      <c r="J318" t="str">
        <f>_xlfn.XLOOKUP(D318,products!$A$1:$A$49,products!$C$1:$C$49,,0)</f>
        <v>L</v>
      </c>
      <c r="K318" s="13">
        <f>_xlfn.XLOOKUP(D318,products!$A$1:$A$49,products!$D$1:$D$49,,0)</f>
        <v>2.5</v>
      </c>
      <c r="L318" s="5">
        <f>_xlfn.XLOOKUP(D318,products!$A$1:$A$49,products!$E$1:$E$49,,0)</f>
        <v>34.154999999999994</v>
      </c>
      <c r="M318">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_xlfn.XLOOKUP(orders!D319,products!$A$1:$A$49,products!$B$1:$B$49,,0)</f>
        <v>Exc</v>
      </c>
      <c r="J319" t="str">
        <f>_xlfn.XLOOKUP(D319,products!$A$1:$A$49,products!$C$1:$C$49,,0)</f>
        <v>D</v>
      </c>
      <c r="K319" s="13">
        <f>_xlfn.XLOOKUP(D319,products!$A$1:$A$49,products!$D$1:$D$49,,0)</f>
        <v>0.5</v>
      </c>
      <c r="L319" s="5">
        <f>_xlfn.XLOOKUP(D319,products!$A$1:$A$49,products!$E$1:$E$49,,0)</f>
        <v>7.29</v>
      </c>
      <c r="M319">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_xlfn.XLOOKUP(orders!D320,products!$A$1:$A$49,products!$B$1:$B$49,,0)</f>
        <v>Ara</v>
      </c>
      <c r="J320" t="str">
        <f>_xlfn.XLOOKUP(D320,products!$A$1:$A$49,products!$C$1:$C$49,,0)</f>
        <v>M</v>
      </c>
      <c r="K320" s="13">
        <f>_xlfn.XLOOKUP(D320,products!$A$1:$A$49,products!$D$1:$D$49,,0)</f>
        <v>2.5</v>
      </c>
      <c r="L320" s="5">
        <f>_xlfn.XLOOKUP(D320,products!$A$1:$A$49,products!$E$1:$E$49,,0)</f>
        <v>25.874999999999996</v>
      </c>
      <c r="M320">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_xlfn.XLOOKUP(orders!D321,products!$A$1:$A$49,products!$B$1:$B$49,,0)</f>
        <v>Exc</v>
      </c>
      <c r="J321" t="str">
        <f>_xlfn.XLOOKUP(D321,products!$A$1:$A$49,products!$C$1:$C$49,,0)</f>
        <v>M</v>
      </c>
      <c r="K321" s="13">
        <f>_xlfn.XLOOKUP(D321,products!$A$1:$A$49,products!$D$1:$D$49,,0)</f>
        <v>0.2</v>
      </c>
      <c r="L321" s="5">
        <f>_xlfn.XLOOKUP(D321,products!$A$1:$A$49,products!$E$1:$E$49,,0)</f>
        <v>4.125</v>
      </c>
      <c r="M321">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_xlfn.XLOOKUP(orders!D322,products!$A$1:$A$49,products!$B$1:$B$49,,0)</f>
        <v>Ara</v>
      </c>
      <c r="J322" t="str">
        <f>_xlfn.XLOOKUP(D322,products!$A$1:$A$49,products!$C$1:$C$49,,0)</f>
        <v>L</v>
      </c>
      <c r="K322" s="13">
        <f>_xlfn.XLOOKUP(D322,products!$A$1:$A$49,products!$D$1:$D$49,,0)</f>
        <v>0.2</v>
      </c>
      <c r="L322" s="5">
        <f>_xlfn.XLOOKUP(D322,products!$A$1:$A$49,products!$E$1:$E$49,,0)</f>
        <v>3.8849999999999998</v>
      </c>
      <c r="M322">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_xlfn.XLOOKUP(orders!D323,products!$A$1:$A$49,products!$B$1:$B$49,,0)</f>
        <v>Ara</v>
      </c>
      <c r="J323" t="str">
        <f>_xlfn.XLOOKUP(D323,products!$A$1:$A$49,products!$C$1:$C$49,,0)</f>
        <v>M</v>
      </c>
      <c r="K323" s="13">
        <f>_xlfn.XLOOKUP(D323,products!$A$1:$A$49,products!$D$1:$D$49,,0)</f>
        <v>0.2</v>
      </c>
      <c r="L323" s="5">
        <f>_xlfn.XLOOKUP(D323,products!$A$1:$A$49,products!$E$1:$E$49,,0)</f>
        <v>3.375</v>
      </c>
      <c r="M323">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_xlfn.XLOOKUP(orders!D324,products!$A$1:$A$49,products!$B$1:$B$49,,0)</f>
        <v>Lib</v>
      </c>
      <c r="J324" t="str">
        <f>_xlfn.XLOOKUP(D324,products!$A$1:$A$49,products!$C$1:$C$49,,0)</f>
        <v>D</v>
      </c>
      <c r="K324" s="13">
        <f>_xlfn.XLOOKUP(D324,products!$A$1:$A$49,products!$D$1:$D$49,,0)</f>
        <v>0.5</v>
      </c>
      <c r="L324" s="5">
        <f>_xlfn.XLOOKUP(D324,products!$A$1:$A$49,products!$E$1:$E$49,,0)</f>
        <v>7.77</v>
      </c>
      <c r="M324">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_xlfn.XLOOKUP(orders!D325,products!$A$1:$A$49,products!$B$1:$B$49,,0)</f>
        <v>Exc</v>
      </c>
      <c r="J325" t="str">
        <f>_xlfn.XLOOKUP(D325,products!$A$1:$A$49,products!$C$1:$C$49,,0)</f>
        <v>D</v>
      </c>
      <c r="K325" s="13">
        <f>_xlfn.XLOOKUP(D325,products!$A$1:$A$49,products!$D$1:$D$49,,0)</f>
        <v>0.2</v>
      </c>
      <c r="L325" s="5">
        <f>_xlfn.XLOOKUP(D325,products!$A$1:$A$49,products!$E$1:$E$49,,0)</f>
        <v>3.645</v>
      </c>
      <c r="M32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_xlfn.XLOOKUP(orders!D326,products!$A$1:$A$49,products!$B$1:$B$49,,0)</f>
        <v>Exc</v>
      </c>
      <c r="J326" t="str">
        <f>_xlfn.XLOOKUP(D326,products!$A$1:$A$49,products!$C$1:$C$49,,0)</f>
        <v>M</v>
      </c>
      <c r="K326" s="13">
        <f>_xlfn.XLOOKUP(D326,products!$A$1:$A$49,products!$D$1:$D$49,,0)</f>
        <v>1</v>
      </c>
      <c r="L326" s="5">
        <f>_xlfn.XLOOKUP(D326,products!$A$1:$A$49,products!$E$1:$E$49,,0)</f>
        <v>13.75</v>
      </c>
      <c r="M326">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_xlfn.XLOOKUP(orders!D327,products!$A$1:$A$49,products!$B$1:$B$49,,0)</f>
        <v>Ara</v>
      </c>
      <c r="J327" t="str">
        <f>_xlfn.XLOOKUP(D327,products!$A$1:$A$49,products!$C$1:$C$49,,0)</f>
        <v>L</v>
      </c>
      <c r="K327" s="13">
        <f>_xlfn.XLOOKUP(D327,products!$A$1:$A$49,products!$D$1:$D$49,,0)</f>
        <v>2.5</v>
      </c>
      <c r="L327" s="5">
        <f>_xlfn.XLOOKUP(D327,products!$A$1:$A$49,products!$E$1:$E$49,,0)</f>
        <v>29.784999999999997</v>
      </c>
      <c r="M327">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_xlfn.XLOOKUP(orders!D328,products!$A$1:$A$49,products!$B$1:$B$49,,0)</f>
        <v>Rob</v>
      </c>
      <c r="J328" t="str">
        <f>_xlfn.XLOOKUP(D328,products!$A$1:$A$49,products!$C$1:$C$49,,0)</f>
        <v>D</v>
      </c>
      <c r="K328" s="13">
        <f>_xlfn.XLOOKUP(D328,products!$A$1:$A$49,products!$D$1:$D$49,,0)</f>
        <v>1</v>
      </c>
      <c r="L328" s="5">
        <f>_xlfn.XLOOKUP(D328,products!$A$1:$A$49,products!$E$1:$E$49,,0)</f>
        <v>8.9499999999999993</v>
      </c>
      <c r="M328">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_xlfn.XLOOKUP(orders!D329,products!$A$1:$A$49,products!$B$1:$B$49,,0)</f>
        <v>Rob</v>
      </c>
      <c r="J329" t="str">
        <f>_xlfn.XLOOKUP(D329,products!$A$1:$A$49,products!$C$1:$C$49,,0)</f>
        <v>D</v>
      </c>
      <c r="K329" s="13">
        <f>_xlfn.XLOOKUP(D329,products!$A$1:$A$49,products!$D$1:$D$49,,0)</f>
        <v>1</v>
      </c>
      <c r="L329" s="5">
        <f>_xlfn.XLOOKUP(D329,products!$A$1:$A$49,products!$E$1:$E$49,,0)</f>
        <v>8.9499999999999993</v>
      </c>
      <c r="M329">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_xlfn.XLOOKUP(orders!D330,products!$A$1:$A$49,products!$B$1:$B$49,,0)</f>
        <v>Lib</v>
      </c>
      <c r="J330" t="str">
        <f>_xlfn.XLOOKUP(D330,products!$A$1:$A$49,products!$C$1:$C$49,,0)</f>
        <v>L</v>
      </c>
      <c r="K330" s="13">
        <f>_xlfn.XLOOKUP(D330,products!$A$1:$A$49,products!$D$1:$D$49,,0)</f>
        <v>0.5</v>
      </c>
      <c r="L330" s="5">
        <f>_xlfn.XLOOKUP(D330,products!$A$1:$A$49,products!$E$1:$E$49,,0)</f>
        <v>9.51</v>
      </c>
      <c r="M330">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_xlfn.XLOOKUP(orders!D331,products!$A$1:$A$49,products!$B$1:$B$49,,0)</f>
        <v>Rob</v>
      </c>
      <c r="J331" t="str">
        <f>_xlfn.XLOOKUP(D331,products!$A$1:$A$49,products!$C$1:$C$49,,0)</f>
        <v>D</v>
      </c>
      <c r="K331" s="13">
        <f>_xlfn.XLOOKUP(D331,products!$A$1:$A$49,products!$D$1:$D$49,,0)</f>
        <v>0.5</v>
      </c>
      <c r="L331" s="5">
        <f>_xlfn.XLOOKUP(D331,products!$A$1:$A$49,products!$E$1:$E$49,,0)</f>
        <v>5.3699999999999992</v>
      </c>
      <c r="M331">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_xlfn.XLOOKUP(orders!D332,products!$A$1:$A$49,products!$B$1:$B$49,,0)</f>
        <v>Rob</v>
      </c>
      <c r="J332" t="str">
        <f>_xlfn.XLOOKUP(D332,products!$A$1:$A$49,products!$C$1:$C$49,,0)</f>
        <v>D</v>
      </c>
      <c r="K332" s="13">
        <f>_xlfn.XLOOKUP(D332,products!$A$1:$A$49,products!$D$1:$D$49,,0)</f>
        <v>0.5</v>
      </c>
      <c r="L332" s="5">
        <f>_xlfn.XLOOKUP(D332,products!$A$1:$A$49,products!$E$1:$E$49,,0)</f>
        <v>5.3699999999999992</v>
      </c>
      <c r="M332">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_xlfn.XLOOKUP(orders!D333,products!$A$1:$A$49,products!$B$1:$B$49,,0)</f>
        <v>Rob</v>
      </c>
      <c r="J333" t="str">
        <f>_xlfn.XLOOKUP(D333,products!$A$1:$A$49,products!$C$1:$C$49,,0)</f>
        <v>M</v>
      </c>
      <c r="K333" s="13">
        <f>_xlfn.XLOOKUP(D333,products!$A$1:$A$49,products!$D$1:$D$49,,0)</f>
        <v>2.5</v>
      </c>
      <c r="L333" s="5">
        <f>_xlfn.XLOOKUP(D333,products!$A$1:$A$49,products!$E$1:$E$49,,0)</f>
        <v>22.884999999999998</v>
      </c>
      <c r="M333">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_xlfn.XLOOKUP(orders!D334,products!$A$1:$A$49,products!$B$1:$B$49,,0)</f>
        <v>Ara</v>
      </c>
      <c r="J334" t="str">
        <f>_xlfn.XLOOKUP(D334,products!$A$1:$A$49,products!$C$1:$C$49,,0)</f>
        <v>D</v>
      </c>
      <c r="K334" s="13">
        <f>_xlfn.XLOOKUP(D334,products!$A$1:$A$49,products!$D$1:$D$49,,0)</f>
        <v>0.5</v>
      </c>
      <c r="L334" s="5">
        <f>_xlfn.XLOOKUP(D334,products!$A$1:$A$49,products!$E$1:$E$49,,0)</f>
        <v>5.97</v>
      </c>
      <c r="M334">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_xlfn.XLOOKUP(orders!D335,products!$A$1:$A$49,products!$B$1:$B$49,,0)</f>
        <v>Rob</v>
      </c>
      <c r="J335" t="str">
        <f>_xlfn.XLOOKUP(D335,products!$A$1:$A$49,products!$C$1:$C$49,,0)</f>
        <v>M</v>
      </c>
      <c r="K335" s="13">
        <f>_xlfn.XLOOKUP(D335,products!$A$1:$A$49,products!$D$1:$D$49,,0)</f>
        <v>0.5</v>
      </c>
      <c r="L335" s="5">
        <f>_xlfn.XLOOKUP(D335,products!$A$1:$A$49,products!$E$1:$E$49,,0)</f>
        <v>5.97</v>
      </c>
      <c r="M33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_xlfn.XLOOKUP(orders!D336,products!$A$1:$A$49,products!$B$1:$B$49,,0)</f>
        <v>Rob</v>
      </c>
      <c r="J336" t="str">
        <f>_xlfn.XLOOKUP(D336,products!$A$1:$A$49,products!$C$1:$C$49,,0)</f>
        <v>L</v>
      </c>
      <c r="K336" s="13">
        <f>_xlfn.XLOOKUP(D336,products!$A$1:$A$49,products!$D$1:$D$49,,0)</f>
        <v>1</v>
      </c>
      <c r="L336" s="5">
        <f>_xlfn.XLOOKUP(D336,products!$A$1:$A$49,products!$E$1:$E$49,,0)</f>
        <v>11.95</v>
      </c>
      <c r="M336">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_xlfn.XLOOKUP(orders!D337,products!$A$1:$A$49,products!$B$1:$B$49,,0)</f>
        <v>Lib</v>
      </c>
      <c r="J337" t="str">
        <f>_xlfn.XLOOKUP(D337,products!$A$1:$A$49,products!$C$1:$C$49,,0)</f>
        <v>L</v>
      </c>
      <c r="K337" s="13">
        <f>_xlfn.XLOOKUP(D337,products!$A$1:$A$49,products!$D$1:$D$49,,0)</f>
        <v>0.2</v>
      </c>
      <c r="L337" s="5">
        <f>_xlfn.XLOOKUP(D337,products!$A$1:$A$49,products!$E$1:$E$49,,0)</f>
        <v>4.7549999999999999</v>
      </c>
      <c r="M337">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_xlfn.XLOOKUP(orders!D338,products!$A$1:$A$49,products!$B$1:$B$49,,0)</f>
        <v>Ara</v>
      </c>
      <c r="J338" t="str">
        <f>_xlfn.XLOOKUP(D338,products!$A$1:$A$49,products!$C$1:$C$49,,0)</f>
        <v>M</v>
      </c>
      <c r="K338" s="13">
        <f>_xlfn.XLOOKUP(D338,products!$A$1:$A$49,products!$D$1:$D$49,,0)</f>
        <v>1</v>
      </c>
      <c r="L338" s="5">
        <f>_xlfn.XLOOKUP(D338,products!$A$1:$A$49,products!$E$1:$E$49,,0)</f>
        <v>11.25</v>
      </c>
      <c r="M338">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_xlfn.XLOOKUP(orders!D339,products!$A$1:$A$49,products!$B$1:$B$49,,0)</f>
        <v>Exc</v>
      </c>
      <c r="J339" t="str">
        <f>_xlfn.XLOOKUP(D339,products!$A$1:$A$49,products!$C$1:$C$49,,0)</f>
        <v>D</v>
      </c>
      <c r="K339" s="13">
        <f>_xlfn.XLOOKUP(D339,products!$A$1:$A$49,products!$D$1:$D$49,,0)</f>
        <v>2.5</v>
      </c>
      <c r="L339" s="5">
        <f>_xlfn.XLOOKUP(D339,products!$A$1:$A$49,products!$E$1:$E$49,,0)</f>
        <v>27.945</v>
      </c>
      <c r="M339">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_xlfn.XLOOKUP(orders!D340,products!$A$1:$A$49,products!$B$1:$B$49,,0)</f>
        <v>Exc</v>
      </c>
      <c r="J340" t="str">
        <f>_xlfn.XLOOKUP(D340,products!$A$1:$A$49,products!$C$1:$C$49,,0)</f>
        <v>L</v>
      </c>
      <c r="K340" s="13">
        <f>_xlfn.XLOOKUP(D340,products!$A$1:$A$49,products!$D$1:$D$49,,0)</f>
        <v>1</v>
      </c>
      <c r="L340" s="5">
        <f>_xlfn.XLOOKUP(D340,products!$A$1:$A$49,products!$E$1:$E$49,,0)</f>
        <v>14.85</v>
      </c>
      <c r="M340">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_xlfn.XLOOKUP(orders!D341,products!$A$1:$A$49,products!$B$1:$B$49,,0)</f>
        <v>Exc</v>
      </c>
      <c r="J341" t="str">
        <f>_xlfn.XLOOKUP(D341,products!$A$1:$A$49,products!$C$1:$C$49,,0)</f>
        <v>D</v>
      </c>
      <c r="K341" s="13">
        <f>_xlfn.XLOOKUP(D341,products!$A$1:$A$49,products!$D$1:$D$49,,0)</f>
        <v>0.2</v>
      </c>
      <c r="L341" s="5">
        <f>_xlfn.XLOOKUP(D341,products!$A$1:$A$49,products!$E$1:$E$49,,0)</f>
        <v>3.645</v>
      </c>
      <c r="M341">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_xlfn.XLOOKUP(orders!D342,products!$A$1:$A$49,products!$B$1:$B$49,,0)</f>
        <v>Exc</v>
      </c>
      <c r="J342" t="str">
        <f>_xlfn.XLOOKUP(D342,products!$A$1:$A$49,products!$C$1:$C$49,,0)</f>
        <v>D</v>
      </c>
      <c r="K342" s="13">
        <f>_xlfn.XLOOKUP(D342,products!$A$1:$A$49,products!$D$1:$D$49,,0)</f>
        <v>0.5</v>
      </c>
      <c r="L342" s="5">
        <f>_xlfn.XLOOKUP(D342,products!$A$1:$A$49,products!$E$1:$E$49,,0)</f>
        <v>7.29</v>
      </c>
      <c r="M342">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_xlfn.XLOOKUP(orders!D343,products!$A$1:$A$49,products!$B$1:$B$49,,0)</f>
        <v>Exc</v>
      </c>
      <c r="J343" t="str">
        <f>_xlfn.XLOOKUP(D343,products!$A$1:$A$49,products!$C$1:$C$49,,0)</f>
        <v>L</v>
      </c>
      <c r="K343" s="13">
        <f>_xlfn.XLOOKUP(D343,products!$A$1:$A$49,products!$D$1:$D$49,,0)</f>
        <v>0.5</v>
      </c>
      <c r="L343" s="5">
        <f>_xlfn.XLOOKUP(D343,products!$A$1:$A$49,products!$E$1:$E$49,,0)</f>
        <v>8.91</v>
      </c>
      <c r="M343">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_xlfn.XLOOKUP(orders!D344,products!$A$1:$A$49,products!$B$1:$B$49,,0)</f>
        <v>Lib</v>
      </c>
      <c r="J344" t="str">
        <f>_xlfn.XLOOKUP(D344,products!$A$1:$A$49,products!$C$1:$C$49,,0)</f>
        <v>D</v>
      </c>
      <c r="K344" s="13">
        <f>_xlfn.XLOOKUP(D344,products!$A$1:$A$49,products!$D$1:$D$49,,0)</f>
        <v>0.5</v>
      </c>
      <c r="L344" s="5">
        <f>_xlfn.XLOOKUP(D344,products!$A$1:$A$49,products!$E$1:$E$49,,0)</f>
        <v>7.77</v>
      </c>
      <c r="M344">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_xlfn.XLOOKUP(orders!D345,products!$A$1:$A$49,products!$B$1:$B$49,,0)</f>
        <v>Rob</v>
      </c>
      <c r="J345" t="str">
        <f>_xlfn.XLOOKUP(D345,products!$A$1:$A$49,products!$C$1:$C$49,,0)</f>
        <v>D</v>
      </c>
      <c r="K345" s="13">
        <f>_xlfn.XLOOKUP(D345,products!$A$1:$A$49,products!$D$1:$D$49,,0)</f>
        <v>0.5</v>
      </c>
      <c r="L345" s="5">
        <f>_xlfn.XLOOKUP(D345,products!$A$1:$A$49,products!$E$1:$E$49,,0)</f>
        <v>5.3699999999999992</v>
      </c>
      <c r="M34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_xlfn.XLOOKUP(orders!D346,products!$A$1:$A$49,products!$B$1:$B$49,,0)</f>
        <v>Rob</v>
      </c>
      <c r="J346" t="str">
        <f>_xlfn.XLOOKUP(D346,products!$A$1:$A$49,products!$C$1:$C$49,,0)</f>
        <v>M</v>
      </c>
      <c r="K346" s="13">
        <f>_xlfn.XLOOKUP(D346,products!$A$1:$A$49,products!$D$1:$D$49,,0)</f>
        <v>1</v>
      </c>
      <c r="L346" s="5">
        <f>_xlfn.XLOOKUP(D346,products!$A$1:$A$49,products!$E$1:$E$49,,0)</f>
        <v>9.9499999999999993</v>
      </c>
      <c r="M346">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_xlfn.XLOOKUP(orders!D347,products!$A$1:$A$49,products!$B$1:$B$49,,0)</f>
        <v>Rob</v>
      </c>
      <c r="J347" t="str">
        <f>_xlfn.XLOOKUP(D347,products!$A$1:$A$49,products!$C$1:$C$49,,0)</f>
        <v>L</v>
      </c>
      <c r="K347" s="13">
        <f>_xlfn.XLOOKUP(D347,products!$A$1:$A$49,products!$D$1:$D$49,,0)</f>
        <v>1</v>
      </c>
      <c r="L347" s="5">
        <f>_xlfn.XLOOKUP(D347,products!$A$1:$A$49,products!$E$1:$E$49,,0)</f>
        <v>11.95</v>
      </c>
      <c r="M347">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_xlfn.XLOOKUP(orders!D348,products!$A$1:$A$49,products!$B$1:$B$49,,0)</f>
        <v>Ara</v>
      </c>
      <c r="J348" t="str">
        <f>_xlfn.XLOOKUP(D348,products!$A$1:$A$49,products!$C$1:$C$49,,0)</f>
        <v>L</v>
      </c>
      <c r="K348" s="13">
        <f>_xlfn.XLOOKUP(D348,products!$A$1:$A$49,products!$D$1:$D$49,,0)</f>
        <v>0.5</v>
      </c>
      <c r="L348" s="5">
        <f>_xlfn.XLOOKUP(D348,products!$A$1:$A$49,products!$E$1:$E$49,,0)</f>
        <v>7.77</v>
      </c>
      <c r="M348">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_xlfn.XLOOKUP(orders!D349,products!$A$1:$A$49,products!$B$1:$B$49,,0)</f>
        <v>Lib</v>
      </c>
      <c r="J349" t="str">
        <f>_xlfn.XLOOKUP(D349,products!$A$1:$A$49,products!$C$1:$C$49,,0)</f>
        <v>M</v>
      </c>
      <c r="K349" s="13">
        <f>_xlfn.XLOOKUP(D349,products!$A$1:$A$49,products!$D$1:$D$49,,0)</f>
        <v>1</v>
      </c>
      <c r="L349" s="5">
        <f>_xlfn.XLOOKUP(D349,products!$A$1:$A$49,products!$E$1:$E$49,,0)</f>
        <v>14.55</v>
      </c>
      <c r="M349">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_xlfn.XLOOKUP(orders!D350,products!$A$1:$A$49,products!$B$1:$B$49,,0)</f>
        <v>Exc</v>
      </c>
      <c r="J350" t="str">
        <f>_xlfn.XLOOKUP(D350,products!$A$1:$A$49,products!$C$1:$C$49,,0)</f>
        <v>L</v>
      </c>
      <c r="K350" s="13">
        <f>_xlfn.XLOOKUP(D350,products!$A$1:$A$49,products!$D$1:$D$49,,0)</f>
        <v>2.5</v>
      </c>
      <c r="L350" s="5">
        <f>_xlfn.XLOOKUP(D350,products!$A$1:$A$49,products!$E$1:$E$49,,0)</f>
        <v>34.154999999999994</v>
      </c>
      <c r="M350">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_xlfn.XLOOKUP(orders!D351,products!$A$1:$A$49,products!$B$1:$B$49,,0)</f>
        <v>Rob</v>
      </c>
      <c r="J351" t="str">
        <f>_xlfn.XLOOKUP(D351,products!$A$1:$A$49,products!$C$1:$C$49,,0)</f>
        <v>L</v>
      </c>
      <c r="K351" s="13">
        <f>_xlfn.XLOOKUP(D351,products!$A$1:$A$49,products!$D$1:$D$49,,0)</f>
        <v>0.2</v>
      </c>
      <c r="L351" s="5">
        <f>_xlfn.XLOOKUP(D351,products!$A$1:$A$49,products!$E$1:$E$49,,0)</f>
        <v>3.5849999999999995</v>
      </c>
      <c r="M351">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_xlfn.XLOOKUP(orders!D352,products!$A$1:$A$49,products!$B$1:$B$49,,0)</f>
        <v>Ara</v>
      </c>
      <c r="J352" t="str">
        <f>_xlfn.XLOOKUP(D352,products!$A$1:$A$49,products!$C$1:$C$49,,0)</f>
        <v>D</v>
      </c>
      <c r="K352" s="13">
        <f>_xlfn.XLOOKUP(D352,products!$A$1:$A$49,products!$D$1:$D$49,,0)</f>
        <v>0.5</v>
      </c>
      <c r="L352" s="5">
        <f>_xlfn.XLOOKUP(D352,products!$A$1:$A$49,products!$E$1:$E$49,,0)</f>
        <v>5.97</v>
      </c>
      <c r="M352">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_xlfn.XLOOKUP(orders!D353,products!$A$1:$A$49,products!$B$1:$B$49,,0)</f>
        <v>Ara</v>
      </c>
      <c r="J353" t="str">
        <f>_xlfn.XLOOKUP(D353,products!$A$1:$A$49,products!$C$1:$C$49,,0)</f>
        <v>M</v>
      </c>
      <c r="K353" s="13">
        <f>_xlfn.XLOOKUP(D353,products!$A$1:$A$49,products!$D$1:$D$49,,0)</f>
        <v>1</v>
      </c>
      <c r="L353" s="5">
        <f>_xlfn.XLOOKUP(D353,products!$A$1:$A$49,products!$E$1:$E$49,,0)</f>
        <v>11.25</v>
      </c>
      <c r="M353">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_xlfn.XLOOKUP(orders!D354,products!$A$1:$A$49,products!$B$1:$B$49,,0)</f>
        <v>Exc</v>
      </c>
      <c r="J354" t="str">
        <f>_xlfn.XLOOKUP(D354,products!$A$1:$A$49,products!$C$1:$C$49,,0)</f>
        <v>D</v>
      </c>
      <c r="K354" s="13">
        <f>_xlfn.XLOOKUP(D354,products!$A$1:$A$49,products!$D$1:$D$49,,0)</f>
        <v>0.5</v>
      </c>
      <c r="L354" s="5">
        <f>_xlfn.XLOOKUP(D354,products!$A$1:$A$49,products!$E$1:$E$49,,0)</f>
        <v>7.29</v>
      </c>
      <c r="M354">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_xlfn.XLOOKUP(orders!D355,products!$A$1:$A$49,products!$B$1:$B$49,,0)</f>
        <v>Ara</v>
      </c>
      <c r="J355" t="str">
        <f>_xlfn.XLOOKUP(D355,products!$A$1:$A$49,products!$C$1:$C$49,,0)</f>
        <v>M</v>
      </c>
      <c r="K355" s="13">
        <f>_xlfn.XLOOKUP(D355,products!$A$1:$A$49,products!$D$1:$D$49,,0)</f>
        <v>0.5</v>
      </c>
      <c r="L355" s="5">
        <f>_xlfn.XLOOKUP(D355,products!$A$1:$A$49,products!$E$1:$E$49,,0)</f>
        <v>6.75</v>
      </c>
      <c r="M35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_xlfn.XLOOKUP(orders!D356,products!$A$1:$A$49,products!$B$1:$B$49,,0)</f>
        <v>Ara</v>
      </c>
      <c r="J356" t="str">
        <f>_xlfn.XLOOKUP(D356,products!$A$1:$A$49,products!$C$1:$C$49,,0)</f>
        <v>M</v>
      </c>
      <c r="K356" s="13">
        <f>_xlfn.XLOOKUP(D356,products!$A$1:$A$49,products!$D$1:$D$49,,0)</f>
        <v>2.5</v>
      </c>
      <c r="L356" s="5">
        <f>_xlfn.XLOOKUP(D356,products!$A$1:$A$49,products!$E$1:$E$49,,0)</f>
        <v>25.874999999999996</v>
      </c>
      <c r="M356">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_xlfn.XLOOKUP(orders!D357,products!$A$1:$A$49,products!$B$1:$B$49,,0)</f>
        <v>Ara</v>
      </c>
      <c r="J357" t="str">
        <f>_xlfn.XLOOKUP(D357,products!$A$1:$A$49,products!$C$1:$C$49,,0)</f>
        <v>D</v>
      </c>
      <c r="K357" s="13">
        <f>_xlfn.XLOOKUP(D357,products!$A$1:$A$49,products!$D$1:$D$49,,0)</f>
        <v>2.5</v>
      </c>
      <c r="L357" s="5">
        <f>_xlfn.XLOOKUP(D357,products!$A$1:$A$49,products!$E$1:$E$49,,0)</f>
        <v>22.884999999999998</v>
      </c>
      <c r="M357">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_xlfn.XLOOKUP(orders!D358,products!$A$1:$A$49,products!$B$1:$B$49,,0)</f>
        <v>Lib</v>
      </c>
      <c r="J358" t="str">
        <f>_xlfn.XLOOKUP(D358,products!$A$1:$A$49,products!$C$1:$C$49,,0)</f>
        <v>D</v>
      </c>
      <c r="K358" s="13">
        <f>_xlfn.XLOOKUP(D358,products!$A$1:$A$49,products!$D$1:$D$49,,0)</f>
        <v>1</v>
      </c>
      <c r="L358" s="5">
        <f>_xlfn.XLOOKUP(D358,products!$A$1:$A$49,products!$E$1:$E$49,,0)</f>
        <v>12.95</v>
      </c>
      <c r="M358">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_xlfn.XLOOKUP(orders!D359,products!$A$1:$A$49,products!$B$1:$B$49,,0)</f>
        <v>Ara</v>
      </c>
      <c r="J359" t="str">
        <f>_xlfn.XLOOKUP(D359,products!$A$1:$A$49,products!$C$1:$C$49,,0)</f>
        <v>M</v>
      </c>
      <c r="K359" s="13">
        <f>_xlfn.XLOOKUP(D359,products!$A$1:$A$49,products!$D$1:$D$49,,0)</f>
        <v>2.5</v>
      </c>
      <c r="L359" s="5">
        <f>_xlfn.XLOOKUP(D359,products!$A$1:$A$49,products!$E$1:$E$49,,0)</f>
        <v>25.874999999999996</v>
      </c>
      <c r="M359">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_xlfn.XLOOKUP(orders!D360,products!$A$1:$A$49,products!$B$1:$B$49,,0)</f>
        <v>Ara</v>
      </c>
      <c r="J360" t="str">
        <f>_xlfn.XLOOKUP(D360,products!$A$1:$A$49,products!$C$1:$C$49,,0)</f>
        <v>L</v>
      </c>
      <c r="K360" s="13">
        <f>_xlfn.XLOOKUP(D360,products!$A$1:$A$49,products!$D$1:$D$49,,0)</f>
        <v>2.5</v>
      </c>
      <c r="L360" s="5">
        <f>_xlfn.XLOOKUP(D360,products!$A$1:$A$49,products!$E$1:$E$49,,0)</f>
        <v>29.784999999999997</v>
      </c>
      <c r="M360">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_xlfn.XLOOKUP(orders!D361,products!$A$1:$A$49,products!$B$1:$B$49,,0)</f>
        <v>Rob</v>
      </c>
      <c r="J361" t="str">
        <f>_xlfn.XLOOKUP(D361,products!$A$1:$A$49,products!$C$1:$C$49,,0)</f>
        <v>L</v>
      </c>
      <c r="K361" s="13">
        <f>_xlfn.XLOOKUP(D361,products!$A$1:$A$49,products!$D$1:$D$49,,0)</f>
        <v>0.2</v>
      </c>
      <c r="L361" s="5">
        <f>_xlfn.XLOOKUP(D361,products!$A$1:$A$49,products!$E$1:$E$49,,0)</f>
        <v>3.5849999999999995</v>
      </c>
      <c r="M361">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_xlfn.XLOOKUP(orders!D362,products!$A$1:$A$49,products!$B$1:$B$49,,0)</f>
        <v>Rob</v>
      </c>
      <c r="J362" t="str">
        <f>_xlfn.XLOOKUP(D362,products!$A$1:$A$49,products!$C$1:$C$49,,0)</f>
        <v>D</v>
      </c>
      <c r="K362" s="13">
        <f>_xlfn.XLOOKUP(D362,products!$A$1:$A$49,products!$D$1:$D$49,,0)</f>
        <v>2.5</v>
      </c>
      <c r="L362" s="5">
        <f>_xlfn.XLOOKUP(D362,products!$A$1:$A$49,products!$E$1:$E$49,,0)</f>
        <v>20.584999999999997</v>
      </c>
      <c r="M362">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_xlfn.XLOOKUP(orders!D363,products!$A$1:$A$49,products!$B$1:$B$49,,0)</f>
        <v>Rob</v>
      </c>
      <c r="J363" t="str">
        <f>_xlfn.XLOOKUP(D363,products!$A$1:$A$49,products!$C$1:$C$49,,0)</f>
        <v>M</v>
      </c>
      <c r="K363" s="13">
        <f>_xlfn.XLOOKUP(D363,products!$A$1:$A$49,products!$D$1:$D$49,,0)</f>
        <v>0.5</v>
      </c>
      <c r="L363" s="5">
        <f>_xlfn.XLOOKUP(D363,products!$A$1:$A$49,products!$E$1:$E$49,,0)</f>
        <v>5.97</v>
      </c>
      <c r="M363">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_xlfn.XLOOKUP(orders!D364,products!$A$1:$A$49,products!$B$1:$B$49,,0)</f>
        <v>Exc</v>
      </c>
      <c r="J364" t="str">
        <f>_xlfn.XLOOKUP(D364,products!$A$1:$A$49,products!$C$1:$C$49,,0)</f>
        <v>L</v>
      </c>
      <c r="K364" s="13">
        <f>_xlfn.XLOOKUP(D364,products!$A$1:$A$49,products!$D$1:$D$49,,0)</f>
        <v>1</v>
      </c>
      <c r="L364" s="5">
        <f>_xlfn.XLOOKUP(D364,products!$A$1:$A$49,products!$E$1:$E$49,,0)</f>
        <v>14.85</v>
      </c>
      <c r="M364">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_xlfn.XLOOKUP(orders!D365,products!$A$1:$A$49,products!$B$1:$B$49,,0)</f>
        <v>Lib</v>
      </c>
      <c r="J365" t="str">
        <f>_xlfn.XLOOKUP(D365,products!$A$1:$A$49,products!$C$1:$C$49,,0)</f>
        <v>M</v>
      </c>
      <c r="K365" s="13">
        <f>_xlfn.XLOOKUP(D365,products!$A$1:$A$49,products!$D$1:$D$49,,0)</f>
        <v>1</v>
      </c>
      <c r="L365" s="5">
        <f>_xlfn.XLOOKUP(D365,products!$A$1:$A$49,products!$E$1:$E$49,,0)</f>
        <v>14.55</v>
      </c>
      <c r="M36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_xlfn.XLOOKUP(orders!D366,products!$A$1:$A$49,products!$B$1:$B$49,,0)</f>
        <v>Exc</v>
      </c>
      <c r="J366" t="str">
        <f>_xlfn.XLOOKUP(D366,products!$A$1:$A$49,products!$C$1:$C$49,,0)</f>
        <v>D</v>
      </c>
      <c r="K366" s="13">
        <f>_xlfn.XLOOKUP(D366,products!$A$1:$A$49,products!$D$1:$D$49,,0)</f>
        <v>1</v>
      </c>
      <c r="L366" s="5">
        <f>_xlfn.XLOOKUP(D366,products!$A$1:$A$49,products!$E$1:$E$49,,0)</f>
        <v>12.15</v>
      </c>
      <c r="M366">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_xlfn.XLOOKUP(orders!D367,products!$A$1:$A$49,products!$B$1:$B$49,,0)</f>
        <v>Lib</v>
      </c>
      <c r="J367" t="str">
        <f>_xlfn.XLOOKUP(D367,products!$A$1:$A$49,products!$C$1:$C$49,,0)</f>
        <v>D</v>
      </c>
      <c r="K367" s="13">
        <f>_xlfn.XLOOKUP(D367,products!$A$1:$A$49,products!$D$1:$D$49,,0)</f>
        <v>0.5</v>
      </c>
      <c r="L367" s="5">
        <f>_xlfn.XLOOKUP(D367,products!$A$1:$A$49,products!$E$1:$E$49,,0)</f>
        <v>7.77</v>
      </c>
      <c r="M367">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_xlfn.XLOOKUP(orders!D368,products!$A$1:$A$49,products!$B$1:$B$49,,0)</f>
        <v>Exc</v>
      </c>
      <c r="J368" t="str">
        <f>_xlfn.XLOOKUP(D368,products!$A$1:$A$49,products!$C$1:$C$49,,0)</f>
        <v>D</v>
      </c>
      <c r="K368" s="13">
        <f>_xlfn.XLOOKUP(D368,products!$A$1:$A$49,products!$D$1:$D$49,,0)</f>
        <v>0.5</v>
      </c>
      <c r="L368" s="5">
        <f>_xlfn.XLOOKUP(D368,products!$A$1:$A$49,products!$E$1:$E$49,,0)</f>
        <v>7.29</v>
      </c>
      <c r="M368">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_xlfn.XLOOKUP(orders!D369,products!$A$1:$A$49,products!$B$1:$B$49,,0)</f>
        <v>Lib</v>
      </c>
      <c r="J369" t="str">
        <f>_xlfn.XLOOKUP(D369,products!$A$1:$A$49,products!$C$1:$C$49,,0)</f>
        <v>M</v>
      </c>
      <c r="K369" s="13">
        <f>_xlfn.XLOOKUP(D369,products!$A$1:$A$49,products!$D$1:$D$49,,0)</f>
        <v>0.2</v>
      </c>
      <c r="L369" s="5">
        <f>_xlfn.XLOOKUP(D369,products!$A$1:$A$49,products!$E$1:$E$49,,0)</f>
        <v>4.3650000000000002</v>
      </c>
      <c r="M369">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_xlfn.XLOOKUP(orders!D370,products!$A$1:$A$49,products!$B$1:$B$49,,0)</f>
        <v>Exc</v>
      </c>
      <c r="J370" t="str">
        <f>_xlfn.XLOOKUP(D370,products!$A$1:$A$49,products!$C$1:$C$49,,0)</f>
        <v>M</v>
      </c>
      <c r="K370" s="13">
        <f>_xlfn.XLOOKUP(D370,products!$A$1:$A$49,products!$D$1:$D$49,,0)</f>
        <v>2.5</v>
      </c>
      <c r="L370" s="5">
        <f>_xlfn.XLOOKUP(D370,products!$A$1:$A$49,products!$E$1:$E$49,,0)</f>
        <v>31.624999999999996</v>
      </c>
      <c r="M370">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_xlfn.XLOOKUP(orders!D371,products!$A$1:$A$49,products!$B$1:$B$49,,0)</f>
        <v>Exc</v>
      </c>
      <c r="J371" t="str">
        <f>_xlfn.XLOOKUP(D371,products!$A$1:$A$49,products!$C$1:$C$49,,0)</f>
        <v>L</v>
      </c>
      <c r="K371" s="13">
        <f>_xlfn.XLOOKUP(D371,products!$A$1:$A$49,products!$D$1:$D$49,,0)</f>
        <v>0.5</v>
      </c>
      <c r="L371" s="5">
        <f>_xlfn.XLOOKUP(D371,products!$A$1:$A$49,products!$E$1:$E$49,,0)</f>
        <v>8.91</v>
      </c>
      <c r="M371">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_xlfn.XLOOKUP(orders!D372,products!$A$1:$A$49,products!$B$1:$B$49,,0)</f>
        <v>Exc</v>
      </c>
      <c r="J372" t="str">
        <f>_xlfn.XLOOKUP(D372,products!$A$1:$A$49,products!$C$1:$C$49,,0)</f>
        <v>D</v>
      </c>
      <c r="K372" s="13">
        <f>_xlfn.XLOOKUP(D372,products!$A$1:$A$49,products!$D$1:$D$49,,0)</f>
        <v>1</v>
      </c>
      <c r="L372" s="5">
        <f>_xlfn.XLOOKUP(D372,products!$A$1:$A$49,products!$E$1:$E$49,,0)</f>
        <v>12.15</v>
      </c>
      <c r="M372">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_xlfn.XLOOKUP(orders!D373,products!$A$1:$A$49,products!$B$1:$B$49,,0)</f>
        <v>Ara</v>
      </c>
      <c r="J373" t="str">
        <f>_xlfn.XLOOKUP(D373,products!$A$1:$A$49,products!$C$1:$C$49,,0)</f>
        <v>L</v>
      </c>
      <c r="K373" s="13">
        <f>_xlfn.XLOOKUP(D373,products!$A$1:$A$49,products!$D$1:$D$49,,0)</f>
        <v>0.5</v>
      </c>
      <c r="L373" s="5">
        <f>_xlfn.XLOOKUP(D373,products!$A$1:$A$49,products!$E$1:$E$49,,0)</f>
        <v>7.77</v>
      </c>
      <c r="M373">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_xlfn.XLOOKUP(orders!D374,products!$A$1:$A$49,products!$B$1:$B$49,,0)</f>
        <v>Rob</v>
      </c>
      <c r="J374" t="str">
        <f>_xlfn.XLOOKUP(D374,products!$A$1:$A$49,products!$C$1:$C$49,,0)</f>
        <v>L</v>
      </c>
      <c r="K374" s="13">
        <f>_xlfn.XLOOKUP(D374,products!$A$1:$A$49,products!$D$1:$D$49,,0)</f>
        <v>0.5</v>
      </c>
      <c r="L374" s="5">
        <f>_xlfn.XLOOKUP(D374,products!$A$1:$A$49,products!$E$1:$E$49,,0)</f>
        <v>7.169999999999999</v>
      </c>
      <c r="M374">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_xlfn.XLOOKUP(orders!D375,products!$A$1:$A$49,products!$B$1:$B$49,,0)</f>
        <v>Ara</v>
      </c>
      <c r="J375" t="str">
        <f>_xlfn.XLOOKUP(D375,products!$A$1:$A$49,products!$C$1:$C$49,,0)</f>
        <v>D</v>
      </c>
      <c r="K375" s="13">
        <f>_xlfn.XLOOKUP(D375,products!$A$1:$A$49,products!$D$1:$D$49,,0)</f>
        <v>0.5</v>
      </c>
      <c r="L375" s="5">
        <f>_xlfn.XLOOKUP(D375,products!$A$1:$A$49,products!$E$1:$E$49,,0)</f>
        <v>5.97</v>
      </c>
      <c r="M37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_xlfn.XLOOKUP(orders!D376,products!$A$1:$A$49,products!$B$1:$B$49,,0)</f>
        <v>Lib</v>
      </c>
      <c r="J376" t="str">
        <f>_xlfn.XLOOKUP(D376,products!$A$1:$A$49,products!$C$1:$C$49,,0)</f>
        <v>L</v>
      </c>
      <c r="K376" s="13">
        <f>_xlfn.XLOOKUP(D376,products!$A$1:$A$49,products!$D$1:$D$49,,0)</f>
        <v>0.5</v>
      </c>
      <c r="L376" s="5">
        <f>_xlfn.XLOOKUP(D376,products!$A$1:$A$49,products!$E$1:$E$49,,0)</f>
        <v>9.51</v>
      </c>
      <c r="M376">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_xlfn.XLOOKUP(orders!D377,products!$A$1:$A$49,products!$B$1:$B$49,,0)</f>
        <v>Ara</v>
      </c>
      <c r="J377" t="str">
        <f>_xlfn.XLOOKUP(D377,products!$A$1:$A$49,products!$C$1:$C$49,,0)</f>
        <v>M</v>
      </c>
      <c r="K377" s="13">
        <f>_xlfn.XLOOKUP(D377,products!$A$1:$A$49,products!$D$1:$D$49,,0)</f>
        <v>0.2</v>
      </c>
      <c r="L377" s="5">
        <f>_xlfn.XLOOKUP(D377,products!$A$1:$A$49,products!$E$1:$E$49,,0)</f>
        <v>3.375</v>
      </c>
      <c r="M377">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_xlfn.XLOOKUP(orders!D378,products!$A$1:$A$49,products!$B$1:$B$49,,0)</f>
        <v>Rob</v>
      </c>
      <c r="J378" t="str">
        <f>_xlfn.XLOOKUP(D378,products!$A$1:$A$49,products!$C$1:$C$49,,0)</f>
        <v>M</v>
      </c>
      <c r="K378" s="13">
        <f>_xlfn.XLOOKUP(D378,products!$A$1:$A$49,products!$D$1:$D$49,,0)</f>
        <v>0.5</v>
      </c>
      <c r="L378" s="5">
        <f>_xlfn.XLOOKUP(D378,products!$A$1:$A$49,products!$E$1:$E$49,,0)</f>
        <v>5.97</v>
      </c>
      <c r="M378">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_xlfn.XLOOKUP(orders!D379,products!$A$1:$A$49,products!$B$1:$B$49,,0)</f>
        <v>Rob</v>
      </c>
      <c r="J379" t="str">
        <f>_xlfn.XLOOKUP(D379,products!$A$1:$A$49,products!$C$1:$C$49,,0)</f>
        <v>D</v>
      </c>
      <c r="K379" s="13">
        <f>_xlfn.XLOOKUP(D379,products!$A$1:$A$49,products!$D$1:$D$49,,0)</f>
        <v>0.2</v>
      </c>
      <c r="L379" s="5">
        <f>_xlfn.XLOOKUP(D379,products!$A$1:$A$49,products!$E$1:$E$49,,0)</f>
        <v>2.6849999999999996</v>
      </c>
      <c r="M379">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_xlfn.XLOOKUP(orders!D380,products!$A$1:$A$49,products!$B$1:$B$49,,0)</f>
        <v>Ara</v>
      </c>
      <c r="J380" t="str">
        <f>_xlfn.XLOOKUP(D380,products!$A$1:$A$49,products!$C$1:$C$49,,0)</f>
        <v>L</v>
      </c>
      <c r="K380" s="13">
        <f>_xlfn.XLOOKUP(D380,products!$A$1:$A$49,products!$D$1:$D$49,,0)</f>
        <v>0.5</v>
      </c>
      <c r="L380" s="5">
        <f>_xlfn.XLOOKUP(D380,products!$A$1:$A$49,products!$E$1:$E$49,,0)</f>
        <v>7.77</v>
      </c>
      <c r="M380">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_xlfn.XLOOKUP(orders!D381,products!$A$1:$A$49,products!$B$1:$B$49,,0)</f>
        <v>Rob</v>
      </c>
      <c r="J381" t="str">
        <f>_xlfn.XLOOKUP(D381,products!$A$1:$A$49,products!$C$1:$C$49,,0)</f>
        <v>L</v>
      </c>
      <c r="K381" s="13">
        <f>_xlfn.XLOOKUP(D381,products!$A$1:$A$49,products!$D$1:$D$49,,0)</f>
        <v>0.5</v>
      </c>
      <c r="L381" s="5">
        <f>_xlfn.XLOOKUP(D381,products!$A$1:$A$49,products!$E$1:$E$49,,0)</f>
        <v>7.169999999999999</v>
      </c>
      <c r="M381">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_xlfn.XLOOKUP(orders!D382,products!$A$1:$A$49,products!$B$1:$B$49,,0)</f>
        <v>Lib</v>
      </c>
      <c r="J382" t="str">
        <f>_xlfn.XLOOKUP(D382,products!$A$1:$A$49,products!$C$1:$C$49,,0)</f>
        <v>D</v>
      </c>
      <c r="K382" s="13">
        <f>_xlfn.XLOOKUP(D382,products!$A$1:$A$49,products!$D$1:$D$49,,0)</f>
        <v>0.5</v>
      </c>
      <c r="L382" s="5">
        <f>_xlfn.XLOOKUP(D382,products!$A$1:$A$49,products!$E$1:$E$49,,0)</f>
        <v>7.77</v>
      </c>
      <c r="M382">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_xlfn.XLOOKUP(orders!D383,products!$A$1:$A$49,products!$B$1:$B$49,,0)</f>
        <v>Ara</v>
      </c>
      <c r="J383" t="str">
        <f>_xlfn.XLOOKUP(D383,products!$A$1:$A$49,products!$C$1:$C$49,,0)</f>
        <v>D</v>
      </c>
      <c r="K383" s="13">
        <f>_xlfn.XLOOKUP(D383,products!$A$1:$A$49,products!$D$1:$D$49,,0)</f>
        <v>0.2</v>
      </c>
      <c r="L383" s="5">
        <f>_xlfn.XLOOKUP(D383,products!$A$1:$A$49,products!$E$1:$E$49,,0)</f>
        <v>2.9849999999999999</v>
      </c>
      <c r="M383">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_xlfn.XLOOKUP(orders!D384,products!$A$1:$A$49,products!$B$1:$B$49,,0)</f>
        <v>Exc</v>
      </c>
      <c r="J384" t="str">
        <f>_xlfn.XLOOKUP(D384,products!$A$1:$A$49,products!$C$1:$C$49,,0)</f>
        <v>D</v>
      </c>
      <c r="K384" s="13">
        <f>_xlfn.XLOOKUP(D384,products!$A$1:$A$49,products!$D$1:$D$49,,0)</f>
        <v>0.5</v>
      </c>
      <c r="L384" s="5">
        <f>_xlfn.XLOOKUP(D384,products!$A$1:$A$49,products!$E$1:$E$49,,0)</f>
        <v>7.29</v>
      </c>
      <c r="M384">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_xlfn.XLOOKUP(orders!D385,products!$A$1:$A$49,products!$B$1:$B$49,,0)</f>
        <v>Exc</v>
      </c>
      <c r="J385" t="str">
        <f>_xlfn.XLOOKUP(D385,products!$A$1:$A$49,products!$C$1:$C$49,,0)</f>
        <v>L</v>
      </c>
      <c r="K385" s="13">
        <f>_xlfn.XLOOKUP(D385,products!$A$1:$A$49,products!$D$1:$D$49,,0)</f>
        <v>0.5</v>
      </c>
      <c r="L385" s="5">
        <f>_xlfn.XLOOKUP(D385,products!$A$1:$A$49,products!$E$1:$E$49,,0)</f>
        <v>8.91</v>
      </c>
      <c r="M38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_xlfn.XLOOKUP(orders!D386,products!$A$1:$A$49,products!$B$1:$B$49,,0)</f>
        <v>Ara</v>
      </c>
      <c r="J386" t="str">
        <f>_xlfn.XLOOKUP(D386,products!$A$1:$A$49,products!$C$1:$C$49,,0)</f>
        <v>L</v>
      </c>
      <c r="K386" s="13">
        <f>_xlfn.XLOOKUP(D386,products!$A$1:$A$49,products!$D$1:$D$49,,0)</f>
        <v>2.5</v>
      </c>
      <c r="L386" s="5">
        <f>_xlfn.XLOOKUP(D386,products!$A$1:$A$49,products!$E$1:$E$49,,0)</f>
        <v>29.784999999999997</v>
      </c>
      <c r="M386">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_xlfn.XLOOKUP(orders!D387,products!$A$1:$A$49,products!$B$1:$B$49,,0)</f>
        <v>Lib</v>
      </c>
      <c r="J387" t="str">
        <f>_xlfn.XLOOKUP(D387,products!$A$1:$A$49,products!$C$1:$C$49,,0)</f>
        <v>M</v>
      </c>
      <c r="K387" s="13">
        <f>_xlfn.XLOOKUP(D387,products!$A$1:$A$49,products!$D$1:$D$49,,0)</f>
        <v>0.5</v>
      </c>
      <c r="L387" s="5">
        <f>_xlfn.XLOOKUP(D387,products!$A$1:$A$49,products!$E$1:$E$49,,0)</f>
        <v>8.73</v>
      </c>
      <c r="M38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_xlfn.XLOOKUP(orders!D388,products!$A$1:$A$49,products!$B$1:$B$49,,0)</f>
        <v>Ara</v>
      </c>
      <c r="J388" t="str">
        <f>_xlfn.XLOOKUP(D388,products!$A$1:$A$49,products!$C$1:$C$49,,0)</f>
        <v>D</v>
      </c>
      <c r="K388" s="13">
        <f>_xlfn.XLOOKUP(D388,products!$A$1:$A$49,products!$D$1:$D$49,,0)</f>
        <v>0.2</v>
      </c>
      <c r="L388" s="5">
        <f>_xlfn.XLOOKUP(D388,products!$A$1:$A$49,products!$E$1:$E$49,,0)</f>
        <v>2.9849999999999999</v>
      </c>
      <c r="M388">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_xlfn.XLOOKUP(orders!D389,products!$A$1:$A$49,products!$B$1:$B$49,,0)</f>
        <v>Exc</v>
      </c>
      <c r="J389" t="str">
        <f>_xlfn.XLOOKUP(D389,products!$A$1:$A$49,products!$C$1:$C$49,,0)</f>
        <v>L</v>
      </c>
      <c r="K389" s="13">
        <f>_xlfn.XLOOKUP(D389,products!$A$1:$A$49,products!$D$1:$D$49,,0)</f>
        <v>1</v>
      </c>
      <c r="L389" s="5">
        <f>_xlfn.XLOOKUP(D389,products!$A$1:$A$49,products!$E$1:$E$49,,0)</f>
        <v>14.85</v>
      </c>
      <c r="M389">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_xlfn.XLOOKUP(orders!D390,products!$A$1:$A$49,products!$B$1:$B$49,,0)</f>
        <v>Lib</v>
      </c>
      <c r="J390" t="str">
        <f>_xlfn.XLOOKUP(D390,products!$A$1:$A$49,products!$C$1:$C$49,,0)</f>
        <v>D</v>
      </c>
      <c r="K390" s="13">
        <f>_xlfn.XLOOKUP(D390,products!$A$1:$A$49,products!$D$1:$D$49,,0)</f>
        <v>0.2</v>
      </c>
      <c r="L390" s="5">
        <f>_xlfn.XLOOKUP(D390,products!$A$1:$A$49,products!$E$1:$E$49,,0)</f>
        <v>3.8849999999999998</v>
      </c>
      <c r="M390">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_xlfn.XLOOKUP(orders!D391,products!$A$1:$A$49,products!$B$1:$B$49,,0)</f>
        <v>Lib</v>
      </c>
      <c r="J391" t="str">
        <f>_xlfn.XLOOKUP(D391,products!$A$1:$A$49,products!$C$1:$C$49,,0)</f>
        <v>D</v>
      </c>
      <c r="K391" s="13">
        <f>_xlfn.XLOOKUP(D391,products!$A$1:$A$49,products!$D$1:$D$49,,0)</f>
        <v>0.5</v>
      </c>
      <c r="L391" s="5">
        <f>_xlfn.XLOOKUP(D391,products!$A$1:$A$49,products!$E$1:$E$49,,0)</f>
        <v>7.77</v>
      </c>
      <c r="M391">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_xlfn.XLOOKUP(orders!D392,products!$A$1:$A$49,products!$B$1:$B$49,,0)</f>
        <v>Exc</v>
      </c>
      <c r="J392" t="str">
        <f>_xlfn.XLOOKUP(D392,products!$A$1:$A$49,products!$C$1:$C$49,,0)</f>
        <v>D</v>
      </c>
      <c r="K392" s="13">
        <f>_xlfn.XLOOKUP(D392,products!$A$1:$A$49,products!$D$1:$D$49,,0)</f>
        <v>0.5</v>
      </c>
      <c r="L392" s="5">
        <f>_xlfn.XLOOKUP(D392,products!$A$1:$A$49,products!$E$1:$E$49,,0)</f>
        <v>7.29</v>
      </c>
      <c r="M392">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_xlfn.XLOOKUP(orders!D393,products!$A$1:$A$49,products!$B$1:$B$49,,0)</f>
        <v>Ara</v>
      </c>
      <c r="J393" t="str">
        <f>_xlfn.XLOOKUP(D393,products!$A$1:$A$49,products!$C$1:$C$49,,0)</f>
        <v>M</v>
      </c>
      <c r="K393" s="13">
        <f>_xlfn.XLOOKUP(D393,products!$A$1:$A$49,products!$D$1:$D$49,,0)</f>
        <v>0.5</v>
      </c>
      <c r="L393" s="5">
        <f>_xlfn.XLOOKUP(D393,products!$A$1:$A$49,products!$E$1:$E$49,,0)</f>
        <v>6.75</v>
      </c>
      <c r="M393">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_xlfn.XLOOKUP(orders!D394,products!$A$1:$A$49,products!$B$1:$B$49,,0)</f>
        <v>Exc</v>
      </c>
      <c r="J394" t="str">
        <f>_xlfn.XLOOKUP(D394,products!$A$1:$A$49,products!$C$1:$C$49,,0)</f>
        <v>L</v>
      </c>
      <c r="K394" s="13">
        <f>_xlfn.XLOOKUP(D394,products!$A$1:$A$49,products!$D$1:$D$49,,0)</f>
        <v>1</v>
      </c>
      <c r="L394" s="5">
        <f>_xlfn.XLOOKUP(D394,products!$A$1:$A$49,products!$E$1:$E$49,,0)</f>
        <v>14.85</v>
      </c>
      <c r="M394">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_xlfn.XLOOKUP(orders!D395,products!$A$1:$A$49,products!$B$1:$B$49,,0)</f>
        <v>Ara</v>
      </c>
      <c r="J395" t="str">
        <f>_xlfn.XLOOKUP(D395,products!$A$1:$A$49,products!$C$1:$C$49,,0)</f>
        <v>L</v>
      </c>
      <c r="K395" s="13">
        <f>_xlfn.XLOOKUP(D395,products!$A$1:$A$49,products!$D$1:$D$49,,0)</f>
        <v>0.2</v>
      </c>
      <c r="L395" s="5">
        <f>_xlfn.XLOOKUP(D395,products!$A$1:$A$49,products!$E$1:$E$49,,0)</f>
        <v>3.8849999999999998</v>
      </c>
      <c r="M39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_xlfn.XLOOKUP(orders!D396,products!$A$1:$A$49,products!$B$1:$B$49,,0)</f>
        <v>Rob</v>
      </c>
      <c r="J396" t="str">
        <f>_xlfn.XLOOKUP(D396,products!$A$1:$A$49,products!$C$1:$C$49,,0)</f>
        <v>L</v>
      </c>
      <c r="K396" s="13">
        <f>_xlfn.XLOOKUP(D396,products!$A$1:$A$49,products!$D$1:$D$49,,0)</f>
        <v>2.5</v>
      </c>
      <c r="L396" s="5">
        <f>_xlfn.XLOOKUP(D396,products!$A$1:$A$49,products!$E$1:$E$49,,0)</f>
        <v>27.484999999999996</v>
      </c>
      <c r="M396">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_xlfn.XLOOKUP(orders!D397,products!$A$1:$A$49,products!$B$1:$B$49,,0)</f>
        <v>Lib</v>
      </c>
      <c r="J397" t="str">
        <f>_xlfn.XLOOKUP(D397,products!$A$1:$A$49,products!$C$1:$C$49,,0)</f>
        <v>D</v>
      </c>
      <c r="K397" s="13">
        <f>_xlfn.XLOOKUP(D397,products!$A$1:$A$49,products!$D$1:$D$49,,0)</f>
        <v>0.5</v>
      </c>
      <c r="L397" s="5">
        <f>_xlfn.XLOOKUP(D397,products!$A$1:$A$49,products!$E$1:$E$49,,0)</f>
        <v>7.77</v>
      </c>
      <c r="M397">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_xlfn.XLOOKUP(orders!D398,products!$A$1:$A$49,products!$B$1:$B$49,,0)</f>
        <v>Ara</v>
      </c>
      <c r="J398" t="str">
        <f>_xlfn.XLOOKUP(D398,products!$A$1:$A$49,products!$C$1:$C$49,,0)</f>
        <v>L</v>
      </c>
      <c r="K398" s="13">
        <f>_xlfn.XLOOKUP(D398,products!$A$1:$A$49,products!$D$1:$D$49,,0)</f>
        <v>0.5</v>
      </c>
      <c r="L398" s="5">
        <f>_xlfn.XLOOKUP(D398,products!$A$1:$A$49,products!$E$1:$E$49,,0)</f>
        <v>7.77</v>
      </c>
      <c r="M398">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_xlfn.XLOOKUP(orders!D399,products!$A$1:$A$49,products!$B$1:$B$49,,0)</f>
        <v>Lib</v>
      </c>
      <c r="J399" t="str">
        <f>_xlfn.XLOOKUP(D399,products!$A$1:$A$49,products!$C$1:$C$49,,0)</f>
        <v>D</v>
      </c>
      <c r="K399" s="13">
        <f>_xlfn.XLOOKUP(D399,products!$A$1:$A$49,products!$D$1:$D$49,,0)</f>
        <v>0.5</v>
      </c>
      <c r="L399" s="5">
        <f>_xlfn.XLOOKUP(D399,products!$A$1:$A$49,products!$E$1:$E$49,,0)</f>
        <v>7.77</v>
      </c>
      <c r="M399">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_xlfn.XLOOKUP(orders!D400,products!$A$1:$A$49,products!$B$1:$B$49,,0)</f>
        <v>Ara</v>
      </c>
      <c r="J400" t="str">
        <f>_xlfn.XLOOKUP(D400,products!$A$1:$A$49,products!$C$1:$C$49,,0)</f>
        <v>D</v>
      </c>
      <c r="K400" s="13">
        <f>_xlfn.XLOOKUP(D400,products!$A$1:$A$49,products!$D$1:$D$49,,0)</f>
        <v>0.2</v>
      </c>
      <c r="L400" s="5">
        <f>_xlfn.XLOOKUP(D400,products!$A$1:$A$49,products!$E$1:$E$49,,0)</f>
        <v>2.9849999999999999</v>
      </c>
      <c r="M400">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_xlfn.XLOOKUP(orders!D401,products!$A$1:$A$49,products!$B$1:$B$49,,0)</f>
        <v>Exc</v>
      </c>
      <c r="J401" t="str">
        <f>_xlfn.XLOOKUP(D401,products!$A$1:$A$49,products!$C$1:$C$49,,0)</f>
        <v>D</v>
      </c>
      <c r="K401" s="13">
        <f>_xlfn.XLOOKUP(D401,products!$A$1:$A$49,products!$D$1:$D$49,,0)</f>
        <v>2.5</v>
      </c>
      <c r="L401" s="5">
        <f>_xlfn.XLOOKUP(D401,products!$A$1:$A$49,products!$E$1:$E$49,,0)</f>
        <v>27.945</v>
      </c>
      <c r="M401">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_xlfn.XLOOKUP(orders!D402,products!$A$1:$A$49,products!$B$1:$B$49,,0)</f>
        <v>Lib</v>
      </c>
      <c r="J402" t="str">
        <f>_xlfn.XLOOKUP(D402,products!$A$1:$A$49,products!$C$1:$C$49,,0)</f>
        <v>L</v>
      </c>
      <c r="K402" s="13">
        <f>_xlfn.XLOOKUP(D402,products!$A$1:$A$49,products!$D$1:$D$49,,0)</f>
        <v>1</v>
      </c>
      <c r="L402" s="5">
        <f>_xlfn.XLOOKUP(D402,products!$A$1:$A$49,products!$E$1:$E$49,,0)</f>
        <v>15.85</v>
      </c>
      <c r="M402">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_xlfn.XLOOKUP(orders!D403,products!$A$1:$A$49,products!$B$1:$B$49,,0)</f>
        <v>Lib</v>
      </c>
      <c r="J403" t="str">
        <f>_xlfn.XLOOKUP(D403,products!$A$1:$A$49,products!$C$1:$C$49,,0)</f>
        <v>M</v>
      </c>
      <c r="K403" s="13">
        <f>_xlfn.XLOOKUP(D403,products!$A$1:$A$49,products!$D$1:$D$49,,0)</f>
        <v>0.2</v>
      </c>
      <c r="L403" s="5">
        <f>_xlfn.XLOOKUP(D403,products!$A$1:$A$49,products!$E$1:$E$49,,0)</f>
        <v>4.3650000000000002</v>
      </c>
      <c r="M403">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_xlfn.XLOOKUP(orders!D404,products!$A$1:$A$49,products!$B$1:$B$49,,0)</f>
        <v>Rob</v>
      </c>
      <c r="J404" t="str">
        <f>_xlfn.XLOOKUP(D404,products!$A$1:$A$49,products!$C$1:$C$49,,0)</f>
        <v>D</v>
      </c>
      <c r="K404" s="13">
        <f>_xlfn.XLOOKUP(D404,products!$A$1:$A$49,products!$D$1:$D$49,,0)</f>
        <v>1</v>
      </c>
      <c r="L404" s="5">
        <f>_xlfn.XLOOKUP(D404,products!$A$1:$A$49,products!$E$1:$E$49,,0)</f>
        <v>8.9499999999999993</v>
      </c>
      <c r="M404">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_xlfn.XLOOKUP(orders!D405,products!$A$1:$A$49,products!$B$1:$B$49,,0)</f>
        <v>Lib</v>
      </c>
      <c r="J405" t="str">
        <f>_xlfn.XLOOKUP(D405,products!$A$1:$A$49,products!$C$1:$C$49,,0)</f>
        <v>L</v>
      </c>
      <c r="K405" s="13">
        <f>_xlfn.XLOOKUP(D405,products!$A$1:$A$49,products!$D$1:$D$49,,0)</f>
        <v>0.2</v>
      </c>
      <c r="L405" s="5">
        <f>_xlfn.XLOOKUP(D405,products!$A$1:$A$49,products!$E$1:$E$49,,0)</f>
        <v>4.7549999999999999</v>
      </c>
      <c r="M40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_xlfn.XLOOKUP(orders!D406,products!$A$1:$A$49,products!$B$1:$B$49,,0)</f>
        <v>Ara</v>
      </c>
      <c r="J406" t="str">
        <f>_xlfn.XLOOKUP(D406,products!$A$1:$A$49,products!$C$1:$C$49,,0)</f>
        <v>D</v>
      </c>
      <c r="K406" s="13">
        <f>_xlfn.XLOOKUP(D406,products!$A$1:$A$49,products!$D$1:$D$49,,0)</f>
        <v>1</v>
      </c>
      <c r="L406" s="5">
        <f>_xlfn.XLOOKUP(D406,products!$A$1:$A$49,products!$E$1:$E$49,,0)</f>
        <v>9.9499999999999993</v>
      </c>
      <c r="M406">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_xlfn.XLOOKUP(orders!D407,products!$A$1:$A$49,products!$B$1:$B$49,,0)</f>
        <v>Exc</v>
      </c>
      <c r="J407" t="str">
        <f>_xlfn.XLOOKUP(D407,products!$A$1:$A$49,products!$C$1:$C$49,,0)</f>
        <v>M</v>
      </c>
      <c r="K407" s="13">
        <f>_xlfn.XLOOKUP(D407,products!$A$1:$A$49,products!$D$1:$D$49,,0)</f>
        <v>0.5</v>
      </c>
      <c r="L407" s="5">
        <f>_xlfn.XLOOKUP(D407,products!$A$1:$A$49,products!$E$1:$E$49,,0)</f>
        <v>8.25</v>
      </c>
      <c r="M407">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_xlfn.XLOOKUP(orders!D408,products!$A$1:$A$49,products!$B$1:$B$49,,0)</f>
        <v>Exc</v>
      </c>
      <c r="J408" t="str">
        <f>_xlfn.XLOOKUP(D408,products!$A$1:$A$49,products!$C$1:$C$49,,0)</f>
        <v>M</v>
      </c>
      <c r="K408" s="13">
        <f>_xlfn.XLOOKUP(D408,products!$A$1:$A$49,products!$D$1:$D$49,,0)</f>
        <v>1</v>
      </c>
      <c r="L408" s="5">
        <f>_xlfn.XLOOKUP(D408,products!$A$1:$A$49,products!$E$1:$E$49,,0)</f>
        <v>13.75</v>
      </c>
      <c r="M408">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_xlfn.XLOOKUP(orders!D409,products!$A$1:$A$49,products!$B$1:$B$49,,0)</f>
        <v>Exc</v>
      </c>
      <c r="J409" t="str">
        <f>_xlfn.XLOOKUP(D409,products!$A$1:$A$49,products!$C$1:$C$49,,0)</f>
        <v>M</v>
      </c>
      <c r="K409" s="13">
        <f>_xlfn.XLOOKUP(D409,products!$A$1:$A$49,products!$D$1:$D$49,,0)</f>
        <v>0.5</v>
      </c>
      <c r="L409" s="5">
        <f>_xlfn.XLOOKUP(D409,products!$A$1:$A$49,products!$E$1:$E$49,,0)</f>
        <v>8.25</v>
      </c>
      <c r="M409">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_xlfn.XLOOKUP(orders!D410,products!$A$1:$A$49,products!$B$1:$B$49,,0)</f>
        <v>Ara</v>
      </c>
      <c r="J410" t="str">
        <f>_xlfn.XLOOKUP(D410,products!$A$1:$A$49,products!$C$1:$C$49,,0)</f>
        <v>M</v>
      </c>
      <c r="K410" s="13">
        <f>_xlfn.XLOOKUP(D410,products!$A$1:$A$49,products!$D$1:$D$49,,0)</f>
        <v>2.5</v>
      </c>
      <c r="L410" s="5">
        <f>_xlfn.XLOOKUP(D410,products!$A$1:$A$49,products!$E$1:$E$49,,0)</f>
        <v>25.874999999999996</v>
      </c>
      <c r="M410">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_xlfn.XLOOKUP(orders!D411,products!$A$1:$A$49,products!$B$1:$B$49,,0)</f>
        <v>Lib</v>
      </c>
      <c r="J411" t="str">
        <f>_xlfn.XLOOKUP(D411,products!$A$1:$A$49,products!$C$1:$C$49,,0)</f>
        <v>L</v>
      </c>
      <c r="K411" s="13">
        <f>_xlfn.XLOOKUP(D411,products!$A$1:$A$49,products!$D$1:$D$49,,0)</f>
        <v>1</v>
      </c>
      <c r="L411" s="5">
        <f>_xlfn.XLOOKUP(D411,products!$A$1:$A$49,products!$E$1:$E$49,,0)</f>
        <v>15.85</v>
      </c>
      <c r="M411">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_xlfn.XLOOKUP(orders!D412,products!$A$1:$A$49,products!$B$1:$B$49,,0)</f>
        <v>Ara</v>
      </c>
      <c r="J412" t="str">
        <f>_xlfn.XLOOKUP(D412,products!$A$1:$A$49,products!$C$1:$C$49,,0)</f>
        <v>L</v>
      </c>
      <c r="K412" s="13">
        <f>_xlfn.XLOOKUP(D412,products!$A$1:$A$49,products!$D$1:$D$49,,0)</f>
        <v>0.2</v>
      </c>
      <c r="L412" s="5">
        <f>_xlfn.XLOOKUP(D412,products!$A$1:$A$49,products!$E$1:$E$49,,0)</f>
        <v>3.8849999999999998</v>
      </c>
      <c r="M412">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_xlfn.XLOOKUP(orders!D413,products!$A$1:$A$49,products!$B$1:$B$49,,0)</f>
        <v>Lib</v>
      </c>
      <c r="J413" t="str">
        <f>_xlfn.XLOOKUP(D413,products!$A$1:$A$49,products!$C$1:$C$49,,0)</f>
        <v>M</v>
      </c>
      <c r="K413" s="13">
        <f>_xlfn.XLOOKUP(D413,products!$A$1:$A$49,products!$D$1:$D$49,,0)</f>
        <v>1</v>
      </c>
      <c r="L413" s="5">
        <f>_xlfn.XLOOKUP(D413,products!$A$1:$A$49,products!$E$1:$E$49,,0)</f>
        <v>14.55</v>
      </c>
      <c r="M413">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_xlfn.XLOOKUP(orders!D414,products!$A$1:$A$49,products!$B$1:$B$49,,0)</f>
        <v>Ara</v>
      </c>
      <c r="J414" t="str">
        <f>_xlfn.XLOOKUP(D414,products!$A$1:$A$49,products!$C$1:$C$49,,0)</f>
        <v>M</v>
      </c>
      <c r="K414" s="13">
        <f>_xlfn.XLOOKUP(D414,products!$A$1:$A$49,products!$D$1:$D$49,,0)</f>
        <v>1</v>
      </c>
      <c r="L414" s="5">
        <f>_xlfn.XLOOKUP(D414,products!$A$1:$A$49,products!$E$1:$E$49,,0)</f>
        <v>11.25</v>
      </c>
      <c r="M414">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_xlfn.XLOOKUP(orders!D415,products!$A$1:$A$49,products!$B$1:$B$49,,0)</f>
        <v>Lib</v>
      </c>
      <c r="J415" t="str">
        <f>_xlfn.XLOOKUP(D415,products!$A$1:$A$49,products!$C$1:$C$49,,0)</f>
        <v>L</v>
      </c>
      <c r="K415" s="13">
        <f>_xlfn.XLOOKUP(D415,products!$A$1:$A$49,products!$D$1:$D$49,,0)</f>
        <v>2.5</v>
      </c>
      <c r="L415" s="5">
        <f>_xlfn.XLOOKUP(D415,products!$A$1:$A$49,products!$E$1:$E$49,,0)</f>
        <v>36.454999999999998</v>
      </c>
      <c r="M41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_xlfn.XLOOKUP(orders!D416,products!$A$1:$A$49,products!$B$1:$B$49,,0)</f>
        <v>Rob</v>
      </c>
      <c r="J416" t="str">
        <f>_xlfn.XLOOKUP(D416,products!$A$1:$A$49,products!$C$1:$C$49,,0)</f>
        <v>L</v>
      </c>
      <c r="K416" s="13">
        <f>_xlfn.XLOOKUP(D416,products!$A$1:$A$49,products!$D$1:$D$49,,0)</f>
        <v>0.2</v>
      </c>
      <c r="L416" s="5">
        <f>_xlfn.XLOOKUP(D416,products!$A$1:$A$49,products!$E$1:$E$49,,0)</f>
        <v>3.5849999999999995</v>
      </c>
      <c r="M416">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_xlfn.XLOOKUP(orders!D417,products!$A$1:$A$49,products!$B$1:$B$49,,0)</f>
        <v>Rob</v>
      </c>
      <c r="J417" t="str">
        <f>_xlfn.XLOOKUP(D417,products!$A$1:$A$49,products!$C$1:$C$49,,0)</f>
        <v>M</v>
      </c>
      <c r="K417" s="13">
        <f>_xlfn.XLOOKUP(D417,products!$A$1:$A$49,products!$D$1:$D$49,,0)</f>
        <v>0.2</v>
      </c>
      <c r="L417" s="5">
        <f>_xlfn.XLOOKUP(D417,products!$A$1:$A$49,products!$E$1:$E$49,,0)</f>
        <v>2.9849999999999999</v>
      </c>
      <c r="M417">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_xlfn.XLOOKUP(orders!D418,products!$A$1:$A$49,products!$B$1:$B$49,,0)</f>
        <v>Ara</v>
      </c>
      <c r="J418" t="str">
        <f>_xlfn.XLOOKUP(D418,products!$A$1:$A$49,products!$C$1:$C$49,,0)</f>
        <v>L</v>
      </c>
      <c r="K418" s="13">
        <f>_xlfn.XLOOKUP(D418,products!$A$1:$A$49,products!$D$1:$D$49,,0)</f>
        <v>0.5</v>
      </c>
      <c r="L418" s="5">
        <f>_xlfn.XLOOKUP(D418,products!$A$1:$A$49,products!$E$1:$E$49,,0)</f>
        <v>7.77</v>
      </c>
      <c r="M418">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_xlfn.XLOOKUP(orders!D419,products!$A$1:$A$49,products!$B$1:$B$49,,0)</f>
        <v>Ara</v>
      </c>
      <c r="J419" t="str">
        <f>_xlfn.XLOOKUP(D419,products!$A$1:$A$49,products!$C$1:$C$49,,0)</f>
        <v>L</v>
      </c>
      <c r="K419" s="13">
        <f>_xlfn.XLOOKUP(D419,products!$A$1:$A$49,products!$D$1:$D$49,,0)</f>
        <v>2.5</v>
      </c>
      <c r="L419" s="5">
        <f>_xlfn.XLOOKUP(D419,products!$A$1:$A$49,products!$E$1:$E$49,,0)</f>
        <v>29.784999999999997</v>
      </c>
      <c r="M419">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_xlfn.XLOOKUP(orders!D420,products!$A$1:$A$49,products!$B$1:$B$49,,0)</f>
        <v>Ara</v>
      </c>
      <c r="J420" t="str">
        <f>_xlfn.XLOOKUP(D420,products!$A$1:$A$49,products!$C$1:$C$49,,0)</f>
        <v>L</v>
      </c>
      <c r="K420" s="13">
        <f>_xlfn.XLOOKUP(D420,products!$A$1:$A$49,products!$D$1:$D$49,,0)</f>
        <v>2.5</v>
      </c>
      <c r="L420" s="5">
        <f>_xlfn.XLOOKUP(D420,products!$A$1:$A$49,products!$E$1:$E$49,,0)</f>
        <v>29.784999999999997</v>
      </c>
      <c r="M420">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_xlfn.XLOOKUP(orders!D421,products!$A$1:$A$49,products!$B$1:$B$49,,0)</f>
        <v>Lib</v>
      </c>
      <c r="J421" t="str">
        <f>_xlfn.XLOOKUP(D421,products!$A$1:$A$49,products!$C$1:$C$49,,0)</f>
        <v>M</v>
      </c>
      <c r="K421" s="13">
        <f>_xlfn.XLOOKUP(D421,products!$A$1:$A$49,products!$D$1:$D$49,,0)</f>
        <v>0.5</v>
      </c>
      <c r="L421" s="5">
        <f>_xlfn.XLOOKUP(D421,products!$A$1:$A$49,products!$E$1:$E$49,,0)</f>
        <v>8.73</v>
      </c>
      <c r="M421">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_xlfn.XLOOKUP(orders!D422,products!$A$1:$A$49,products!$B$1:$B$49,,0)</f>
        <v>Lib</v>
      </c>
      <c r="J422" t="str">
        <f>_xlfn.XLOOKUP(D422,products!$A$1:$A$49,products!$C$1:$C$49,,0)</f>
        <v>D</v>
      </c>
      <c r="K422" s="13">
        <f>_xlfn.XLOOKUP(D422,products!$A$1:$A$49,products!$D$1:$D$49,,0)</f>
        <v>0.5</v>
      </c>
      <c r="L422" s="5">
        <f>_xlfn.XLOOKUP(D422,products!$A$1:$A$49,products!$E$1:$E$49,,0)</f>
        <v>7.77</v>
      </c>
      <c r="M422">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_xlfn.XLOOKUP(orders!D423,products!$A$1:$A$49,products!$B$1:$B$49,,0)</f>
        <v>Ara</v>
      </c>
      <c r="J423" t="str">
        <f>_xlfn.XLOOKUP(D423,products!$A$1:$A$49,products!$C$1:$C$49,,0)</f>
        <v>D</v>
      </c>
      <c r="K423" s="13">
        <f>_xlfn.XLOOKUP(D423,products!$A$1:$A$49,products!$D$1:$D$49,,0)</f>
        <v>2.5</v>
      </c>
      <c r="L423" s="5">
        <f>_xlfn.XLOOKUP(D423,products!$A$1:$A$49,products!$E$1:$E$49,,0)</f>
        <v>22.884999999999998</v>
      </c>
      <c r="M423">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_xlfn.XLOOKUP(orders!D424,products!$A$1:$A$49,products!$B$1:$B$49,,0)</f>
        <v>Ara</v>
      </c>
      <c r="J424" t="str">
        <f>_xlfn.XLOOKUP(D424,products!$A$1:$A$49,products!$C$1:$C$49,,0)</f>
        <v>D</v>
      </c>
      <c r="K424" s="13">
        <f>_xlfn.XLOOKUP(D424,products!$A$1:$A$49,products!$D$1:$D$49,,0)</f>
        <v>0.5</v>
      </c>
      <c r="L424" s="5">
        <f>_xlfn.XLOOKUP(D424,products!$A$1:$A$49,products!$E$1:$E$49,,0)</f>
        <v>5.97</v>
      </c>
      <c r="M424">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_xlfn.XLOOKUP(orders!D425,products!$A$1:$A$49,products!$B$1:$B$49,,0)</f>
        <v>Rob</v>
      </c>
      <c r="J425" t="str">
        <f>_xlfn.XLOOKUP(D425,products!$A$1:$A$49,products!$C$1:$C$49,,0)</f>
        <v>M</v>
      </c>
      <c r="K425" s="13">
        <f>_xlfn.XLOOKUP(D425,products!$A$1:$A$49,products!$D$1:$D$49,,0)</f>
        <v>0.5</v>
      </c>
      <c r="L425" s="5">
        <f>_xlfn.XLOOKUP(D425,products!$A$1:$A$49,products!$E$1:$E$49,,0)</f>
        <v>5.97</v>
      </c>
      <c r="M42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_xlfn.XLOOKUP(orders!D426,products!$A$1:$A$49,products!$B$1:$B$49,,0)</f>
        <v>Exc</v>
      </c>
      <c r="J426" t="str">
        <f>_xlfn.XLOOKUP(D426,products!$A$1:$A$49,products!$C$1:$C$49,,0)</f>
        <v>L</v>
      </c>
      <c r="K426" s="13">
        <f>_xlfn.XLOOKUP(D426,products!$A$1:$A$49,products!$D$1:$D$49,,0)</f>
        <v>0.5</v>
      </c>
      <c r="L426" s="5">
        <f>_xlfn.XLOOKUP(D426,products!$A$1:$A$49,products!$E$1:$E$49,,0)</f>
        <v>8.91</v>
      </c>
      <c r="M426">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_xlfn.XLOOKUP(orders!D427,products!$A$1:$A$49,products!$B$1:$B$49,,0)</f>
        <v>Rob</v>
      </c>
      <c r="J427" t="str">
        <f>_xlfn.XLOOKUP(D427,products!$A$1:$A$49,products!$C$1:$C$49,,0)</f>
        <v>D</v>
      </c>
      <c r="K427" s="13">
        <f>_xlfn.XLOOKUP(D427,products!$A$1:$A$49,products!$D$1:$D$49,,0)</f>
        <v>1</v>
      </c>
      <c r="L427" s="5">
        <f>_xlfn.XLOOKUP(D427,products!$A$1:$A$49,products!$E$1:$E$49,,0)</f>
        <v>8.9499999999999993</v>
      </c>
      <c r="M427">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_xlfn.XLOOKUP(orders!D428,products!$A$1:$A$49,products!$B$1:$B$49,,0)</f>
        <v>Rob</v>
      </c>
      <c r="J428" t="str">
        <f>_xlfn.XLOOKUP(D428,products!$A$1:$A$49,products!$C$1:$C$49,,0)</f>
        <v>L</v>
      </c>
      <c r="K428" s="13">
        <f>_xlfn.XLOOKUP(D428,products!$A$1:$A$49,products!$D$1:$D$49,,0)</f>
        <v>0.2</v>
      </c>
      <c r="L428" s="5">
        <f>_xlfn.XLOOKUP(D428,products!$A$1:$A$49,products!$E$1:$E$49,,0)</f>
        <v>3.5849999999999995</v>
      </c>
      <c r="M428">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_xlfn.XLOOKUP(orders!D429,products!$A$1:$A$49,products!$B$1:$B$49,,0)</f>
        <v>Ara</v>
      </c>
      <c r="J429" t="str">
        <f>_xlfn.XLOOKUP(D429,products!$A$1:$A$49,products!$C$1:$C$49,,0)</f>
        <v>M</v>
      </c>
      <c r="K429" s="13">
        <f>_xlfn.XLOOKUP(D429,products!$A$1:$A$49,products!$D$1:$D$49,,0)</f>
        <v>2.5</v>
      </c>
      <c r="L429" s="5">
        <f>_xlfn.XLOOKUP(D429,products!$A$1:$A$49,products!$E$1:$E$49,,0)</f>
        <v>25.874999999999996</v>
      </c>
      <c r="M429">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_xlfn.XLOOKUP(orders!D430,products!$A$1:$A$49,products!$B$1:$B$49,,0)</f>
        <v>Rob</v>
      </c>
      <c r="J430" t="str">
        <f>_xlfn.XLOOKUP(D430,products!$A$1:$A$49,products!$C$1:$C$49,,0)</f>
        <v>L</v>
      </c>
      <c r="K430" s="13">
        <f>_xlfn.XLOOKUP(D430,products!$A$1:$A$49,products!$D$1:$D$49,,0)</f>
        <v>1</v>
      </c>
      <c r="L430" s="5">
        <f>_xlfn.XLOOKUP(D430,products!$A$1:$A$49,products!$E$1:$E$49,,0)</f>
        <v>11.95</v>
      </c>
      <c r="M430">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_xlfn.XLOOKUP(orders!D431,products!$A$1:$A$49,products!$B$1:$B$49,,0)</f>
        <v>Ara</v>
      </c>
      <c r="J431" t="str">
        <f>_xlfn.XLOOKUP(D431,products!$A$1:$A$49,products!$C$1:$C$49,,0)</f>
        <v>L</v>
      </c>
      <c r="K431" s="13">
        <f>_xlfn.XLOOKUP(D431,products!$A$1:$A$49,products!$D$1:$D$49,,0)</f>
        <v>1</v>
      </c>
      <c r="L431" s="5">
        <f>_xlfn.XLOOKUP(D431,products!$A$1:$A$49,products!$E$1:$E$49,,0)</f>
        <v>12.95</v>
      </c>
      <c r="M431">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_xlfn.XLOOKUP(orders!D432,products!$A$1:$A$49,products!$B$1:$B$49,,0)</f>
        <v>Rob</v>
      </c>
      <c r="J432" t="str">
        <f>_xlfn.XLOOKUP(D432,products!$A$1:$A$49,products!$C$1:$C$49,,0)</f>
        <v>D</v>
      </c>
      <c r="K432" s="13">
        <f>_xlfn.XLOOKUP(D432,products!$A$1:$A$49,products!$D$1:$D$49,,0)</f>
        <v>0.2</v>
      </c>
      <c r="L432" s="5">
        <f>_xlfn.XLOOKUP(D432,products!$A$1:$A$49,products!$E$1:$E$49,,0)</f>
        <v>2.6849999999999996</v>
      </c>
      <c r="M432">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_xlfn.XLOOKUP(orders!D433,products!$A$1:$A$49,products!$B$1:$B$49,,0)</f>
        <v>Exc</v>
      </c>
      <c r="J433" t="str">
        <f>_xlfn.XLOOKUP(D433,products!$A$1:$A$49,products!$C$1:$C$49,,0)</f>
        <v>D</v>
      </c>
      <c r="K433" s="13">
        <f>_xlfn.XLOOKUP(D433,products!$A$1:$A$49,products!$D$1:$D$49,,0)</f>
        <v>2.5</v>
      </c>
      <c r="L433" s="5">
        <f>_xlfn.XLOOKUP(D433,products!$A$1:$A$49,products!$E$1:$E$49,,0)</f>
        <v>27.945</v>
      </c>
      <c r="M433">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_xlfn.XLOOKUP(orders!D434,products!$A$1:$A$49,products!$B$1:$B$49,,0)</f>
        <v>Ara</v>
      </c>
      <c r="J434" t="str">
        <f>_xlfn.XLOOKUP(D434,products!$A$1:$A$49,products!$C$1:$C$49,,0)</f>
        <v>M</v>
      </c>
      <c r="K434" s="13">
        <f>_xlfn.XLOOKUP(D434,products!$A$1:$A$49,products!$D$1:$D$49,,0)</f>
        <v>1</v>
      </c>
      <c r="L434" s="5">
        <f>_xlfn.XLOOKUP(D434,products!$A$1:$A$49,products!$E$1:$E$49,,0)</f>
        <v>11.25</v>
      </c>
      <c r="M434">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_xlfn.XLOOKUP(orders!D435,products!$A$1:$A$49,products!$B$1:$B$49,,0)</f>
        <v>Lib</v>
      </c>
      <c r="J435" t="str">
        <f>_xlfn.XLOOKUP(D435,products!$A$1:$A$49,products!$C$1:$C$49,,0)</f>
        <v>M</v>
      </c>
      <c r="K435" s="13">
        <f>_xlfn.XLOOKUP(D435,products!$A$1:$A$49,products!$D$1:$D$49,,0)</f>
        <v>2.5</v>
      </c>
      <c r="L435" s="5">
        <f>_xlfn.XLOOKUP(D435,products!$A$1:$A$49,products!$E$1:$E$49,,0)</f>
        <v>33.464999999999996</v>
      </c>
      <c r="M43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_xlfn.XLOOKUP(orders!D436,products!$A$1:$A$49,products!$B$1:$B$49,,0)</f>
        <v>Ara</v>
      </c>
      <c r="J436" t="str">
        <f>_xlfn.XLOOKUP(D436,products!$A$1:$A$49,products!$C$1:$C$49,,0)</f>
        <v>M</v>
      </c>
      <c r="K436" s="13">
        <f>_xlfn.XLOOKUP(D436,products!$A$1:$A$49,products!$D$1:$D$49,,0)</f>
        <v>1</v>
      </c>
      <c r="L436" s="5">
        <f>_xlfn.XLOOKUP(D436,products!$A$1:$A$49,products!$E$1:$E$49,,0)</f>
        <v>11.25</v>
      </c>
      <c r="M436">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_xlfn.XLOOKUP(orders!D437,products!$A$1:$A$49,products!$B$1:$B$49,,0)</f>
        <v>Exc</v>
      </c>
      <c r="J437" t="str">
        <f>_xlfn.XLOOKUP(D437,products!$A$1:$A$49,products!$C$1:$C$49,,0)</f>
        <v>M</v>
      </c>
      <c r="K437" s="13">
        <f>_xlfn.XLOOKUP(D437,products!$A$1:$A$49,products!$D$1:$D$49,,0)</f>
        <v>0.5</v>
      </c>
      <c r="L437" s="5">
        <f>_xlfn.XLOOKUP(D437,products!$A$1:$A$49,products!$E$1:$E$49,,0)</f>
        <v>8.25</v>
      </c>
      <c r="M437">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_xlfn.XLOOKUP(orders!D438,products!$A$1:$A$49,products!$B$1:$B$49,,0)</f>
        <v>Lib</v>
      </c>
      <c r="J438" t="str">
        <f>_xlfn.XLOOKUP(D438,products!$A$1:$A$49,products!$C$1:$C$49,,0)</f>
        <v>L</v>
      </c>
      <c r="K438" s="13">
        <f>_xlfn.XLOOKUP(D438,products!$A$1:$A$49,products!$D$1:$D$49,,0)</f>
        <v>0.2</v>
      </c>
      <c r="L438" s="5">
        <f>_xlfn.XLOOKUP(D438,products!$A$1:$A$49,products!$E$1:$E$49,,0)</f>
        <v>4.7549999999999999</v>
      </c>
      <c r="M438">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_xlfn.XLOOKUP(orders!D439,products!$A$1:$A$49,products!$B$1:$B$49,,0)</f>
        <v>Lib</v>
      </c>
      <c r="J439" t="str">
        <f>_xlfn.XLOOKUP(D439,products!$A$1:$A$49,products!$C$1:$C$49,,0)</f>
        <v>D</v>
      </c>
      <c r="K439" s="13">
        <f>_xlfn.XLOOKUP(D439,products!$A$1:$A$49,products!$D$1:$D$49,,0)</f>
        <v>2.5</v>
      </c>
      <c r="L439" s="5">
        <f>_xlfn.XLOOKUP(D439,products!$A$1:$A$49,products!$E$1:$E$49,,0)</f>
        <v>29.784999999999997</v>
      </c>
      <c r="M439">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_xlfn.XLOOKUP(orders!D440,products!$A$1:$A$49,products!$B$1:$B$49,,0)</f>
        <v>Lib</v>
      </c>
      <c r="J440" t="str">
        <f>_xlfn.XLOOKUP(D440,products!$A$1:$A$49,products!$C$1:$C$49,,0)</f>
        <v>D</v>
      </c>
      <c r="K440" s="13">
        <f>_xlfn.XLOOKUP(D440,products!$A$1:$A$49,products!$D$1:$D$49,,0)</f>
        <v>0.5</v>
      </c>
      <c r="L440" s="5">
        <f>_xlfn.XLOOKUP(D440,products!$A$1:$A$49,products!$E$1:$E$49,,0)</f>
        <v>7.77</v>
      </c>
      <c r="M440">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_xlfn.XLOOKUP(orders!D441,products!$A$1:$A$49,products!$B$1:$B$49,,0)</f>
        <v>Exc</v>
      </c>
      <c r="J441" t="str">
        <f>_xlfn.XLOOKUP(D441,products!$A$1:$A$49,products!$C$1:$C$49,,0)</f>
        <v>L</v>
      </c>
      <c r="K441" s="13">
        <f>_xlfn.XLOOKUP(D441,products!$A$1:$A$49,products!$D$1:$D$49,,0)</f>
        <v>0.5</v>
      </c>
      <c r="L441" s="5">
        <f>_xlfn.XLOOKUP(D441,products!$A$1:$A$49,products!$E$1:$E$49,,0)</f>
        <v>8.91</v>
      </c>
      <c r="M441">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_xlfn.XLOOKUP(orders!D442,products!$A$1:$A$49,products!$B$1:$B$49,,0)</f>
        <v>Ara</v>
      </c>
      <c r="J442" t="str">
        <f>_xlfn.XLOOKUP(D442,products!$A$1:$A$49,products!$C$1:$C$49,,0)</f>
        <v>M</v>
      </c>
      <c r="K442" s="13">
        <f>_xlfn.XLOOKUP(D442,products!$A$1:$A$49,products!$D$1:$D$49,,0)</f>
        <v>2.5</v>
      </c>
      <c r="L442" s="5">
        <f>_xlfn.XLOOKUP(D442,products!$A$1:$A$49,products!$E$1:$E$49,,0)</f>
        <v>25.874999999999996</v>
      </c>
      <c r="M442">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_xlfn.XLOOKUP(orders!D443,products!$A$1:$A$49,products!$B$1:$B$49,,0)</f>
        <v>Exc</v>
      </c>
      <c r="J443" t="str">
        <f>_xlfn.XLOOKUP(D443,products!$A$1:$A$49,products!$C$1:$C$49,,0)</f>
        <v>D</v>
      </c>
      <c r="K443" s="13">
        <f>_xlfn.XLOOKUP(D443,products!$A$1:$A$49,products!$D$1:$D$49,,0)</f>
        <v>1</v>
      </c>
      <c r="L443" s="5">
        <f>_xlfn.XLOOKUP(D443,products!$A$1:$A$49,products!$E$1:$E$49,,0)</f>
        <v>12.15</v>
      </c>
      <c r="M443">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_xlfn.XLOOKUP(orders!D444,products!$A$1:$A$49,products!$B$1:$B$49,,0)</f>
        <v>Rob</v>
      </c>
      <c r="J444" t="str">
        <f>_xlfn.XLOOKUP(D444,products!$A$1:$A$49,products!$C$1:$C$49,,0)</f>
        <v>L</v>
      </c>
      <c r="K444" s="13">
        <f>_xlfn.XLOOKUP(D444,products!$A$1:$A$49,products!$D$1:$D$49,,0)</f>
        <v>0.5</v>
      </c>
      <c r="L444" s="5">
        <f>_xlfn.XLOOKUP(D444,products!$A$1:$A$49,products!$E$1:$E$49,,0)</f>
        <v>7.169999999999999</v>
      </c>
      <c r="M444">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_xlfn.XLOOKUP(orders!D445,products!$A$1:$A$49,products!$B$1:$B$49,,0)</f>
        <v>Exc</v>
      </c>
      <c r="J445" t="str">
        <f>_xlfn.XLOOKUP(D445,products!$A$1:$A$49,products!$C$1:$C$49,,0)</f>
        <v>L</v>
      </c>
      <c r="K445" s="13">
        <f>_xlfn.XLOOKUP(D445,products!$A$1:$A$49,products!$D$1:$D$49,,0)</f>
        <v>0.2</v>
      </c>
      <c r="L445" s="5">
        <f>_xlfn.XLOOKUP(D445,products!$A$1:$A$49,products!$E$1:$E$49,,0)</f>
        <v>4.4550000000000001</v>
      </c>
      <c r="M44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_xlfn.XLOOKUP(orders!D446,products!$A$1:$A$49,products!$B$1:$B$49,,0)</f>
        <v>Exc</v>
      </c>
      <c r="J446" t="str">
        <f>_xlfn.XLOOKUP(D446,products!$A$1:$A$49,products!$C$1:$C$49,,0)</f>
        <v>M</v>
      </c>
      <c r="K446" s="13">
        <f>_xlfn.XLOOKUP(D446,products!$A$1:$A$49,products!$D$1:$D$49,,0)</f>
        <v>0.2</v>
      </c>
      <c r="L446" s="5">
        <f>_xlfn.XLOOKUP(D446,products!$A$1:$A$49,products!$E$1:$E$49,,0)</f>
        <v>4.125</v>
      </c>
      <c r="M446">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_xlfn.XLOOKUP(orders!D447,products!$A$1:$A$49,products!$B$1:$B$49,,0)</f>
        <v>Lib</v>
      </c>
      <c r="J447" t="str">
        <f>_xlfn.XLOOKUP(D447,products!$A$1:$A$49,products!$C$1:$C$49,,0)</f>
        <v>M</v>
      </c>
      <c r="K447" s="13">
        <f>_xlfn.XLOOKUP(D447,products!$A$1:$A$49,products!$D$1:$D$49,,0)</f>
        <v>2.5</v>
      </c>
      <c r="L447" s="5">
        <f>_xlfn.XLOOKUP(D447,products!$A$1:$A$49,products!$E$1:$E$49,,0)</f>
        <v>33.464999999999996</v>
      </c>
      <c r="M447">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_xlfn.XLOOKUP(orders!D448,products!$A$1:$A$49,products!$B$1:$B$49,,0)</f>
        <v>Lib</v>
      </c>
      <c r="J448" t="str">
        <f>_xlfn.XLOOKUP(D448,products!$A$1:$A$49,products!$C$1:$C$49,,0)</f>
        <v>M</v>
      </c>
      <c r="K448" s="13">
        <f>_xlfn.XLOOKUP(D448,products!$A$1:$A$49,products!$D$1:$D$49,,0)</f>
        <v>0.5</v>
      </c>
      <c r="L448" s="5">
        <f>_xlfn.XLOOKUP(D448,products!$A$1:$A$49,products!$E$1:$E$49,,0)</f>
        <v>8.73</v>
      </c>
      <c r="M448">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_xlfn.XLOOKUP(orders!D449,products!$A$1:$A$49,products!$B$1:$B$49,,0)</f>
        <v>Rob</v>
      </c>
      <c r="J449" t="str">
        <f>_xlfn.XLOOKUP(D449,products!$A$1:$A$49,products!$C$1:$C$49,,0)</f>
        <v>M</v>
      </c>
      <c r="K449" s="13">
        <f>_xlfn.XLOOKUP(D449,products!$A$1:$A$49,products!$D$1:$D$49,,0)</f>
        <v>0.5</v>
      </c>
      <c r="L449" s="5">
        <f>_xlfn.XLOOKUP(D449,products!$A$1:$A$49,products!$E$1:$E$49,,0)</f>
        <v>5.97</v>
      </c>
      <c r="M449">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_xlfn.XLOOKUP(orders!D450,products!$A$1:$A$49,products!$B$1:$B$49,,0)</f>
        <v>Rob</v>
      </c>
      <c r="J450" t="str">
        <f>_xlfn.XLOOKUP(D450,products!$A$1:$A$49,products!$C$1:$C$49,,0)</f>
        <v>L</v>
      </c>
      <c r="K450" s="13">
        <f>_xlfn.XLOOKUP(D450,products!$A$1:$A$49,products!$D$1:$D$49,,0)</f>
        <v>0.5</v>
      </c>
      <c r="L450" s="5">
        <f>_xlfn.XLOOKUP(D450,products!$A$1:$A$49,products!$E$1:$E$49,,0)</f>
        <v>7.169999999999999</v>
      </c>
      <c r="M450">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_xlfn.XLOOKUP(orders!D451,products!$A$1:$A$49,products!$B$1:$B$49,,0)</f>
        <v>Rob</v>
      </c>
      <c r="J451" t="str">
        <f>_xlfn.XLOOKUP(D451,products!$A$1:$A$49,products!$C$1:$C$49,,0)</f>
        <v>D</v>
      </c>
      <c r="K451" s="13">
        <f>_xlfn.XLOOKUP(D451,products!$A$1:$A$49,products!$D$1:$D$49,,0)</f>
        <v>0.2</v>
      </c>
      <c r="L451" s="5">
        <f>_xlfn.XLOOKUP(D451,products!$A$1:$A$49,products!$E$1:$E$49,,0)</f>
        <v>2.6849999999999996</v>
      </c>
      <c r="M451">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_xlfn.XLOOKUP(orders!D452,products!$A$1:$A$49,products!$B$1:$B$49,,0)</f>
        <v>Lib</v>
      </c>
      <c r="J452" t="str">
        <f>_xlfn.XLOOKUP(D452,products!$A$1:$A$49,products!$C$1:$C$49,,0)</f>
        <v>L</v>
      </c>
      <c r="K452" s="13">
        <f>_xlfn.XLOOKUP(D452,products!$A$1:$A$49,products!$D$1:$D$49,,0)</f>
        <v>0.2</v>
      </c>
      <c r="L452" s="5">
        <f>_xlfn.XLOOKUP(D452,products!$A$1:$A$49,products!$E$1:$E$49,,0)</f>
        <v>4.7549999999999999</v>
      </c>
      <c r="M452">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_xlfn.XLOOKUP(orders!D453,products!$A$1:$A$49,products!$B$1:$B$49,,0)</f>
        <v>Rob</v>
      </c>
      <c r="J453" t="str">
        <f>_xlfn.XLOOKUP(D453,products!$A$1:$A$49,products!$C$1:$C$49,,0)</f>
        <v>D</v>
      </c>
      <c r="K453" s="13">
        <f>_xlfn.XLOOKUP(D453,products!$A$1:$A$49,products!$D$1:$D$49,,0)</f>
        <v>2.5</v>
      </c>
      <c r="L453" s="5">
        <f>_xlfn.XLOOKUP(D453,products!$A$1:$A$49,products!$E$1:$E$49,,0)</f>
        <v>20.584999999999997</v>
      </c>
      <c r="M453">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_xlfn.XLOOKUP(orders!D454,products!$A$1:$A$49,products!$B$1:$B$49,,0)</f>
        <v>Ara</v>
      </c>
      <c r="J454" t="str">
        <f>_xlfn.XLOOKUP(D454,products!$A$1:$A$49,products!$C$1:$C$49,,0)</f>
        <v>L</v>
      </c>
      <c r="K454" s="13">
        <f>_xlfn.XLOOKUP(D454,products!$A$1:$A$49,products!$D$1:$D$49,,0)</f>
        <v>0.2</v>
      </c>
      <c r="L454" s="5">
        <f>_xlfn.XLOOKUP(D454,products!$A$1:$A$49,products!$E$1:$E$49,,0)</f>
        <v>3.8849999999999998</v>
      </c>
      <c r="M454">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_xlfn.XLOOKUP(orders!D455,products!$A$1:$A$49,products!$B$1:$B$49,,0)</f>
        <v>Lib</v>
      </c>
      <c r="J455" t="str">
        <f>_xlfn.XLOOKUP(D455,products!$A$1:$A$49,products!$C$1:$C$49,,0)</f>
        <v>L</v>
      </c>
      <c r="K455" s="13">
        <f>_xlfn.XLOOKUP(D455,products!$A$1:$A$49,products!$D$1:$D$49,,0)</f>
        <v>0.5</v>
      </c>
      <c r="L455" s="5">
        <f>_xlfn.XLOOKUP(D455,products!$A$1:$A$49,products!$E$1:$E$49,,0)</f>
        <v>9.51</v>
      </c>
      <c r="M45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_xlfn.XLOOKUP(orders!D456,products!$A$1:$A$49,products!$B$1:$B$49,,0)</f>
        <v>Rob</v>
      </c>
      <c r="J456" t="str">
        <f>_xlfn.XLOOKUP(D456,products!$A$1:$A$49,products!$C$1:$C$49,,0)</f>
        <v>D</v>
      </c>
      <c r="K456" s="13">
        <f>_xlfn.XLOOKUP(D456,products!$A$1:$A$49,products!$D$1:$D$49,,0)</f>
        <v>2.5</v>
      </c>
      <c r="L456" s="5">
        <f>_xlfn.XLOOKUP(D456,products!$A$1:$A$49,products!$E$1:$E$49,,0)</f>
        <v>20.584999999999997</v>
      </c>
      <c r="M456">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_xlfn.XLOOKUP(orders!D457,products!$A$1:$A$49,products!$B$1:$B$49,,0)</f>
        <v>Lib</v>
      </c>
      <c r="J457" t="str">
        <f>_xlfn.XLOOKUP(D457,products!$A$1:$A$49,products!$C$1:$C$49,,0)</f>
        <v>L</v>
      </c>
      <c r="K457" s="13">
        <f>_xlfn.XLOOKUP(D457,products!$A$1:$A$49,products!$D$1:$D$49,,0)</f>
        <v>0.2</v>
      </c>
      <c r="L457" s="5">
        <f>_xlfn.XLOOKUP(D457,products!$A$1:$A$49,products!$E$1:$E$49,,0)</f>
        <v>4.7549999999999999</v>
      </c>
      <c r="M457">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_xlfn.XLOOKUP(orders!D458,products!$A$1:$A$49,products!$B$1:$B$49,,0)</f>
        <v>Rob</v>
      </c>
      <c r="J458" t="str">
        <f>_xlfn.XLOOKUP(D458,products!$A$1:$A$49,products!$C$1:$C$49,,0)</f>
        <v>D</v>
      </c>
      <c r="K458" s="13">
        <f>_xlfn.XLOOKUP(D458,products!$A$1:$A$49,products!$D$1:$D$49,,0)</f>
        <v>2.5</v>
      </c>
      <c r="L458" s="5">
        <f>_xlfn.XLOOKUP(D458,products!$A$1:$A$49,products!$E$1:$E$49,,0)</f>
        <v>20.584999999999997</v>
      </c>
      <c r="M458">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_xlfn.XLOOKUP(orders!D459,products!$A$1:$A$49,products!$B$1:$B$49,,0)</f>
        <v>Lib</v>
      </c>
      <c r="J459" t="str">
        <f>_xlfn.XLOOKUP(D459,products!$A$1:$A$49,products!$C$1:$C$49,,0)</f>
        <v>L</v>
      </c>
      <c r="K459" s="13">
        <f>_xlfn.XLOOKUP(D459,products!$A$1:$A$49,products!$D$1:$D$49,,0)</f>
        <v>0.5</v>
      </c>
      <c r="L459" s="5">
        <f>_xlfn.XLOOKUP(D459,products!$A$1:$A$49,products!$E$1:$E$49,,0)</f>
        <v>9.51</v>
      </c>
      <c r="M459">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_xlfn.XLOOKUP(orders!D460,products!$A$1:$A$49,products!$B$1:$B$49,,0)</f>
        <v>Ara</v>
      </c>
      <c r="J460" t="str">
        <f>_xlfn.XLOOKUP(D460,products!$A$1:$A$49,products!$C$1:$C$49,,0)</f>
        <v>M</v>
      </c>
      <c r="K460" s="13">
        <f>_xlfn.XLOOKUP(D460,products!$A$1:$A$49,products!$D$1:$D$49,,0)</f>
        <v>1</v>
      </c>
      <c r="L460" s="5">
        <f>_xlfn.XLOOKUP(D460,products!$A$1:$A$49,products!$E$1:$E$49,,0)</f>
        <v>11.25</v>
      </c>
      <c r="M460">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_xlfn.XLOOKUP(orders!D461,products!$A$1:$A$49,products!$B$1:$B$49,,0)</f>
        <v>Lib</v>
      </c>
      <c r="J461" t="str">
        <f>_xlfn.XLOOKUP(D461,products!$A$1:$A$49,products!$C$1:$C$49,,0)</f>
        <v>L</v>
      </c>
      <c r="K461" s="13">
        <f>_xlfn.XLOOKUP(D461,products!$A$1:$A$49,products!$D$1:$D$49,,0)</f>
        <v>0.2</v>
      </c>
      <c r="L461" s="5">
        <f>_xlfn.XLOOKUP(D461,products!$A$1:$A$49,products!$E$1:$E$49,,0)</f>
        <v>4.7549999999999999</v>
      </c>
      <c r="M461">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_xlfn.XLOOKUP(orders!D462,products!$A$1:$A$49,products!$B$1:$B$49,,0)</f>
        <v>Rob</v>
      </c>
      <c r="J462" t="str">
        <f>_xlfn.XLOOKUP(D462,products!$A$1:$A$49,products!$C$1:$C$49,,0)</f>
        <v>D</v>
      </c>
      <c r="K462" s="13">
        <f>_xlfn.XLOOKUP(D462,products!$A$1:$A$49,products!$D$1:$D$49,,0)</f>
        <v>0.5</v>
      </c>
      <c r="L462" s="5">
        <f>_xlfn.XLOOKUP(D462,products!$A$1:$A$49,products!$E$1:$E$49,,0)</f>
        <v>5.3699999999999992</v>
      </c>
      <c r="M462">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_xlfn.XLOOKUP(orders!D463,products!$A$1:$A$49,products!$B$1:$B$49,,0)</f>
        <v>Rob</v>
      </c>
      <c r="J463" t="str">
        <f>_xlfn.XLOOKUP(D463,products!$A$1:$A$49,products!$C$1:$C$49,,0)</f>
        <v>D</v>
      </c>
      <c r="K463" s="13">
        <f>_xlfn.XLOOKUP(D463,products!$A$1:$A$49,products!$D$1:$D$49,,0)</f>
        <v>0.2</v>
      </c>
      <c r="L463" s="5">
        <f>_xlfn.XLOOKUP(D463,products!$A$1:$A$49,products!$E$1:$E$49,,0)</f>
        <v>2.6849999999999996</v>
      </c>
      <c r="M463">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_xlfn.XLOOKUP(orders!D464,products!$A$1:$A$49,products!$B$1:$B$49,,0)</f>
        <v>Ara</v>
      </c>
      <c r="J464" t="str">
        <f>_xlfn.XLOOKUP(D464,products!$A$1:$A$49,products!$C$1:$C$49,,0)</f>
        <v>D</v>
      </c>
      <c r="K464" s="13">
        <f>_xlfn.XLOOKUP(D464,products!$A$1:$A$49,products!$D$1:$D$49,,0)</f>
        <v>1</v>
      </c>
      <c r="L464" s="5">
        <f>_xlfn.XLOOKUP(D464,products!$A$1:$A$49,products!$E$1:$E$49,,0)</f>
        <v>9.9499999999999993</v>
      </c>
      <c r="M464">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_xlfn.XLOOKUP(orders!D465,products!$A$1:$A$49,products!$B$1:$B$49,,0)</f>
        <v>Exc</v>
      </c>
      <c r="J465" t="str">
        <f>_xlfn.XLOOKUP(D465,products!$A$1:$A$49,products!$C$1:$C$49,,0)</f>
        <v>M</v>
      </c>
      <c r="K465" s="13">
        <f>_xlfn.XLOOKUP(D465,products!$A$1:$A$49,products!$D$1:$D$49,,0)</f>
        <v>1</v>
      </c>
      <c r="L465" s="5">
        <f>_xlfn.XLOOKUP(D465,products!$A$1:$A$49,products!$E$1:$E$49,,0)</f>
        <v>13.75</v>
      </c>
      <c r="M46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_xlfn.XLOOKUP(orders!D466,products!$A$1:$A$49,products!$B$1:$B$49,,0)</f>
        <v>Lib</v>
      </c>
      <c r="J466" t="str">
        <f>_xlfn.XLOOKUP(D466,products!$A$1:$A$49,products!$C$1:$C$49,,0)</f>
        <v>D</v>
      </c>
      <c r="K466" s="13">
        <f>_xlfn.XLOOKUP(D466,products!$A$1:$A$49,products!$D$1:$D$49,,0)</f>
        <v>2.5</v>
      </c>
      <c r="L466" s="5">
        <f>_xlfn.XLOOKUP(D466,products!$A$1:$A$49,products!$E$1:$E$49,,0)</f>
        <v>29.784999999999997</v>
      </c>
      <c r="M466">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_xlfn.XLOOKUP(orders!D467,products!$A$1:$A$49,products!$B$1:$B$49,,0)</f>
        <v>Rob</v>
      </c>
      <c r="J467" t="str">
        <f>_xlfn.XLOOKUP(D467,products!$A$1:$A$49,products!$C$1:$C$49,,0)</f>
        <v>D</v>
      </c>
      <c r="K467" s="13">
        <f>_xlfn.XLOOKUP(D467,products!$A$1:$A$49,products!$D$1:$D$49,,0)</f>
        <v>2.5</v>
      </c>
      <c r="L467" s="5">
        <f>_xlfn.XLOOKUP(D467,products!$A$1:$A$49,products!$E$1:$E$49,,0)</f>
        <v>20.584999999999997</v>
      </c>
      <c r="M467">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_xlfn.XLOOKUP(orders!D468,products!$A$1:$A$49,products!$B$1:$B$49,,0)</f>
        <v>Ara</v>
      </c>
      <c r="J468" t="str">
        <f>_xlfn.XLOOKUP(D468,products!$A$1:$A$49,products!$C$1:$C$49,,0)</f>
        <v>D</v>
      </c>
      <c r="K468" s="13">
        <f>_xlfn.XLOOKUP(D468,products!$A$1:$A$49,products!$D$1:$D$49,,0)</f>
        <v>0.2</v>
      </c>
      <c r="L468" s="5">
        <f>_xlfn.XLOOKUP(D468,products!$A$1:$A$49,products!$E$1:$E$49,,0)</f>
        <v>2.9849999999999999</v>
      </c>
      <c r="M468">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_xlfn.XLOOKUP(orders!D469,products!$A$1:$A$49,products!$B$1:$B$49,,0)</f>
        <v>Ara</v>
      </c>
      <c r="J469" t="str">
        <f>_xlfn.XLOOKUP(D469,products!$A$1:$A$49,products!$C$1:$C$49,,0)</f>
        <v>D</v>
      </c>
      <c r="K469" s="13">
        <f>_xlfn.XLOOKUP(D469,products!$A$1:$A$49,products!$D$1:$D$49,,0)</f>
        <v>0.5</v>
      </c>
      <c r="L469" s="5">
        <f>_xlfn.XLOOKUP(D469,products!$A$1:$A$49,products!$E$1:$E$49,,0)</f>
        <v>5.97</v>
      </c>
      <c r="M469">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_xlfn.XLOOKUP(orders!D470,products!$A$1:$A$49,products!$B$1:$B$49,,0)</f>
        <v>Exc</v>
      </c>
      <c r="J470" t="str">
        <f>_xlfn.XLOOKUP(D470,products!$A$1:$A$49,products!$C$1:$C$49,,0)</f>
        <v>M</v>
      </c>
      <c r="K470" s="13">
        <f>_xlfn.XLOOKUP(D470,products!$A$1:$A$49,products!$D$1:$D$49,,0)</f>
        <v>1</v>
      </c>
      <c r="L470" s="5">
        <f>_xlfn.XLOOKUP(D470,products!$A$1:$A$49,products!$E$1:$E$49,,0)</f>
        <v>13.75</v>
      </c>
      <c r="M470">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_xlfn.XLOOKUP(orders!D471,products!$A$1:$A$49,products!$B$1:$B$49,,0)</f>
        <v>Exc</v>
      </c>
      <c r="J471" t="str">
        <f>_xlfn.XLOOKUP(D471,products!$A$1:$A$49,products!$C$1:$C$49,,0)</f>
        <v>L</v>
      </c>
      <c r="K471" s="13">
        <f>_xlfn.XLOOKUP(D471,products!$A$1:$A$49,products!$D$1:$D$49,,0)</f>
        <v>0.2</v>
      </c>
      <c r="L471" s="5">
        <f>_xlfn.XLOOKUP(D471,products!$A$1:$A$49,products!$E$1:$E$49,,0)</f>
        <v>4.4550000000000001</v>
      </c>
      <c r="M471">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_xlfn.XLOOKUP(orders!D472,products!$A$1:$A$49,products!$B$1:$B$49,,0)</f>
        <v>Ara</v>
      </c>
      <c r="J472" t="str">
        <f>_xlfn.XLOOKUP(D472,products!$A$1:$A$49,products!$C$1:$C$49,,0)</f>
        <v>M</v>
      </c>
      <c r="K472" s="13">
        <f>_xlfn.XLOOKUP(D472,products!$A$1:$A$49,products!$D$1:$D$49,,0)</f>
        <v>0.5</v>
      </c>
      <c r="L472" s="5">
        <f>_xlfn.XLOOKUP(D472,products!$A$1:$A$49,products!$E$1:$E$49,,0)</f>
        <v>6.75</v>
      </c>
      <c r="M472">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_xlfn.XLOOKUP(orders!D473,products!$A$1:$A$49,products!$B$1:$B$49,,0)</f>
        <v>Lib</v>
      </c>
      <c r="J473" t="str">
        <f>_xlfn.XLOOKUP(D473,products!$A$1:$A$49,products!$C$1:$C$49,,0)</f>
        <v>M</v>
      </c>
      <c r="K473" s="13">
        <f>_xlfn.XLOOKUP(D473,products!$A$1:$A$49,products!$D$1:$D$49,,0)</f>
        <v>2.5</v>
      </c>
      <c r="L473" s="5">
        <f>_xlfn.XLOOKUP(D473,products!$A$1:$A$49,products!$E$1:$E$49,,0)</f>
        <v>33.464999999999996</v>
      </c>
      <c r="M473">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_xlfn.XLOOKUP(orders!D474,products!$A$1:$A$49,products!$B$1:$B$49,,0)</f>
        <v>Ara</v>
      </c>
      <c r="J474" t="str">
        <f>_xlfn.XLOOKUP(D474,products!$A$1:$A$49,products!$C$1:$C$49,,0)</f>
        <v>D</v>
      </c>
      <c r="K474" s="13">
        <f>_xlfn.XLOOKUP(D474,products!$A$1:$A$49,products!$D$1:$D$49,,0)</f>
        <v>0.2</v>
      </c>
      <c r="L474" s="5">
        <f>_xlfn.XLOOKUP(D474,products!$A$1:$A$49,products!$E$1:$E$49,,0)</f>
        <v>2.9849999999999999</v>
      </c>
      <c r="M474">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_xlfn.XLOOKUP(orders!D475,products!$A$1:$A$49,products!$B$1:$B$49,,0)</f>
        <v>Ara</v>
      </c>
      <c r="J475" t="str">
        <f>_xlfn.XLOOKUP(D475,products!$A$1:$A$49,products!$C$1:$C$49,,0)</f>
        <v>L</v>
      </c>
      <c r="K475" s="13">
        <f>_xlfn.XLOOKUP(D475,products!$A$1:$A$49,products!$D$1:$D$49,,0)</f>
        <v>1</v>
      </c>
      <c r="L475" s="5">
        <f>_xlfn.XLOOKUP(D475,products!$A$1:$A$49,products!$E$1:$E$49,,0)</f>
        <v>12.95</v>
      </c>
      <c r="M47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_xlfn.XLOOKUP(orders!D476,products!$A$1:$A$49,products!$B$1:$B$49,,0)</f>
        <v>Exc</v>
      </c>
      <c r="J476" t="str">
        <f>_xlfn.XLOOKUP(D476,products!$A$1:$A$49,products!$C$1:$C$49,,0)</f>
        <v>M</v>
      </c>
      <c r="K476" s="13">
        <f>_xlfn.XLOOKUP(D476,products!$A$1:$A$49,products!$D$1:$D$49,,0)</f>
        <v>2.5</v>
      </c>
      <c r="L476" s="5">
        <f>_xlfn.XLOOKUP(D476,products!$A$1:$A$49,products!$E$1:$E$49,,0)</f>
        <v>31.624999999999996</v>
      </c>
      <c r="M476">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_xlfn.XLOOKUP(orders!D477,products!$A$1:$A$49,products!$B$1:$B$49,,0)</f>
        <v>Lib</v>
      </c>
      <c r="J477" t="str">
        <f>_xlfn.XLOOKUP(D477,products!$A$1:$A$49,products!$C$1:$C$49,,0)</f>
        <v>M</v>
      </c>
      <c r="K477" s="13">
        <f>_xlfn.XLOOKUP(D477,products!$A$1:$A$49,products!$D$1:$D$49,,0)</f>
        <v>0.2</v>
      </c>
      <c r="L477" s="5">
        <f>_xlfn.XLOOKUP(D477,products!$A$1:$A$49,products!$E$1:$E$49,,0)</f>
        <v>4.3650000000000002</v>
      </c>
      <c r="M477">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_xlfn.XLOOKUP(orders!D478,products!$A$1:$A$49,products!$B$1:$B$49,,0)</f>
        <v>Exc</v>
      </c>
      <c r="J478" t="str">
        <f>_xlfn.XLOOKUP(D478,products!$A$1:$A$49,products!$C$1:$C$49,,0)</f>
        <v>L</v>
      </c>
      <c r="K478" s="13">
        <f>_xlfn.XLOOKUP(D478,products!$A$1:$A$49,products!$D$1:$D$49,,0)</f>
        <v>0.2</v>
      </c>
      <c r="L478" s="5">
        <f>_xlfn.XLOOKUP(D478,products!$A$1:$A$49,products!$E$1:$E$49,,0)</f>
        <v>4.4550000000000001</v>
      </c>
      <c r="M478">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_xlfn.XLOOKUP(orders!D479,products!$A$1:$A$49,products!$B$1:$B$49,,0)</f>
        <v>Lib</v>
      </c>
      <c r="J479" t="str">
        <f>_xlfn.XLOOKUP(D479,products!$A$1:$A$49,products!$C$1:$C$49,,0)</f>
        <v>M</v>
      </c>
      <c r="K479" s="13">
        <f>_xlfn.XLOOKUP(D479,products!$A$1:$A$49,products!$D$1:$D$49,,0)</f>
        <v>0.2</v>
      </c>
      <c r="L479" s="5">
        <f>_xlfn.XLOOKUP(D479,products!$A$1:$A$49,products!$E$1:$E$49,,0)</f>
        <v>4.3650000000000002</v>
      </c>
      <c r="M479">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_xlfn.XLOOKUP(orders!D480,products!$A$1:$A$49,products!$B$1:$B$49,,0)</f>
        <v>Rob</v>
      </c>
      <c r="J480" t="str">
        <f>_xlfn.XLOOKUP(D480,products!$A$1:$A$49,products!$C$1:$C$49,,0)</f>
        <v>D</v>
      </c>
      <c r="K480" s="13">
        <f>_xlfn.XLOOKUP(D480,products!$A$1:$A$49,products!$D$1:$D$49,,0)</f>
        <v>1</v>
      </c>
      <c r="L480" s="5">
        <f>_xlfn.XLOOKUP(D480,products!$A$1:$A$49,products!$E$1:$E$49,,0)</f>
        <v>8.9499999999999993</v>
      </c>
      <c r="M480">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_xlfn.XLOOKUP(orders!D481,products!$A$1:$A$49,products!$B$1:$B$49,,0)</f>
        <v>Exc</v>
      </c>
      <c r="J481" t="str">
        <f>_xlfn.XLOOKUP(D481,products!$A$1:$A$49,products!$C$1:$C$49,,0)</f>
        <v>M</v>
      </c>
      <c r="K481" s="13">
        <f>_xlfn.XLOOKUP(D481,products!$A$1:$A$49,products!$D$1:$D$49,,0)</f>
        <v>2.5</v>
      </c>
      <c r="L481" s="5">
        <f>_xlfn.XLOOKUP(D481,products!$A$1:$A$49,products!$E$1:$E$49,,0)</f>
        <v>31.624999999999996</v>
      </c>
      <c r="M481">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_xlfn.XLOOKUP(orders!D482,products!$A$1:$A$49,products!$B$1:$B$49,,0)</f>
        <v>Exc</v>
      </c>
      <c r="J482" t="str">
        <f>_xlfn.XLOOKUP(D482,products!$A$1:$A$49,products!$C$1:$C$49,,0)</f>
        <v>M</v>
      </c>
      <c r="K482" s="13">
        <f>_xlfn.XLOOKUP(D482,products!$A$1:$A$49,products!$D$1:$D$49,,0)</f>
        <v>0.2</v>
      </c>
      <c r="L482" s="5">
        <f>_xlfn.XLOOKUP(D482,products!$A$1:$A$49,products!$E$1:$E$49,,0)</f>
        <v>4.125</v>
      </c>
      <c r="M482">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_xlfn.XLOOKUP(orders!D483,products!$A$1:$A$49,products!$B$1:$B$49,,0)</f>
        <v>Rob</v>
      </c>
      <c r="J483" t="str">
        <f>_xlfn.XLOOKUP(D483,products!$A$1:$A$49,products!$C$1:$C$49,,0)</f>
        <v>L</v>
      </c>
      <c r="K483" s="13">
        <f>_xlfn.XLOOKUP(D483,products!$A$1:$A$49,products!$D$1:$D$49,,0)</f>
        <v>1</v>
      </c>
      <c r="L483" s="5">
        <f>_xlfn.XLOOKUP(D483,products!$A$1:$A$49,products!$E$1:$E$49,,0)</f>
        <v>11.95</v>
      </c>
      <c r="M483">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_xlfn.XLOOKUP(orders!D484,products!$A$1:$A$49,products!$B$1:$B$49,,0)</f>
        <v>Exc</v>
      </c>
      <c r="J484" t="str">
        <f>_xlfn.XLOOKUP(D484,products!$A$1:$A$49,products!$C$1:$C$49,,0)</f>
        <v>D</v>
      </c>
      <c r="K484" s="13">
        <f>_xlfn.XLOOKUP(D484,products!$A$1:$A$49,products!$D$1:$D$49,,0)</f>
        <v>2.5</v>
      </c>
      <c r="L484" s="5">
        <f>_xlfn.XLOOKUP(D484,products!$A$1:$A$49,products!$E$1:$E$49,,0)</f>
        <v>27.945</v>
      </c>
      <c r="M484">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_xlfn.XLOOKUP(orders!D485,products!$A$1:$A$49,products!$B$1:$B$49,,0)</f>
        <v>Lib</v>
      </c>
      <c r="J485" t="str">
        <f>_xlfn.XLOOKUP(D485,products!$A$1:$A$49,products!$C$1:$C$49,,0)</f>
        <v>D</v>
      </c>
      <c r="K485" s="13">
        <f>_xlfn.XLOOKUP(D485,products!$A$1:$A$49,products!$D$1:$D$49,,0)</f>
        <v>2.5</v>
      </c>
      <c r="L485" s="5">
        <f>_xlfn.XLOOKUP(D485,products!$A$1:$A$49,products!$E$1:$E$49,,0)</f>
        <v>29.784999999999997</v>
      </c>
      <c r="M48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_xlfn.XLOOKUP(orders!D486,products!$A$1:$A$49,products!$B$1:$B$49,,0)</f>
        <v>Lib</v>
      </c>
      <c r="J486" t="str">
        <f>_xlfn.XLOOKUP(D486,products!$A$1:$A$49,products!$C$1:$C$49,,0)</f>
        <v>L</v>
      </c>
      <c r="K486" s="13">
        <f>_xlfn.XLOOKUP(D486,products!$A$1:$A$49,products!$D$1:$D$49,,0)</f>
        <v>0.5</v>
      </c>
      <c r="L486" s="5">
        <f>_xlfn.XLOOKUP(D486,products!$A$1:$A$49,products!$E$1:$E$49,,0)</f>
        <v>9.51</v>
      </c>
      <c r="M486">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_xlfn.XLOOKUP(orders!D487,products!$A$1:$A$49,products!$B$1:$B$49,,0)</f>
        <v>Rob</v>
      </c>
      <c r="J487" t="str">
        <f>_xlfn.XLOOKUP(D487,products!$A$1:$A$49,products!$C$1:$C$49,,0)</f>
        <v>L</v>
      </c>
      <c r="K487" s="13">
        <f>_xlfn.XLOOKUP(D487,products!$A$1:$A$49,products!$D$1:$D$49,,0)</f>
        <v>0.2</v>
      </c>
      <c r="L487" s="5">
        <f>_xlfn.XLOOKUP(D487,products!$A$1:$A$49,products!$E$1:$E$49,,0)</f>
        <v>3.5849999999999995</v>
      </c>
      <c r="M487">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_xlfn.XLOOKUP(orders!D488,products!$A$1:$A$49,products!$B$1:$B$49,,0)</f>
        <v>Lib</v>
      </c>
      <c r="J488" t="str">
        <f>_xlfn.XLOOKUP(D488,products!$A$1:$A$49,products!$C$1:$C$49,,0)</f>
        <v>M</v>
      </c>
      <c r="K488" s="13">
        <f>_xlfn.XLOOKUP(D488,products!$A$1:$A$49,products!$D$1:$D$49,,0)</f>
        <v>0.5</v>
      </c>
      <c r="L488" s="5">
        <f>_xlfn.XLOOKUP(D488,products!$A$1:$A$49,products!$E$1:$E$49,,0)</f>
        <v>8.73</v>
      </c>
      <c r="M488">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_xlfn.XLOOKUP(orders!D489,products!$A$1:$A$49,products!$B$1:$B$49,,0)</f>
        <v>Exc</v>
      </c>
      <c r="J489" t="str">
        <f>_xlfn.XLOOKUP(D489,products!$A$1:$A$49,products!$C$1:$C$49,,0)</f>
        <v>D</v>
      </c>
      <c r="K489" s="13">
        <f>_xlfn.XLOOKUP(D489,products!$A$1:$A$49,products!$D$1:$D$49,,0)</f>
        <v>1</v>
      </c>
      <c r="L489" s="5">
        <f>_xlfn.XLOOKUP(D489,products!$A$1:$A$49,products!$E$1:$E$49,,0)</f>
        <v>12.15</v>
      </c>
      <c r="M489">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_xlfn.XLOOKUP(orders!D490,products!$A$1:$A$49,products!$B$1:$B$49,,0)</f>
        <v>Rob</v>
      </c>
      <c r="J490" t="str">
        <f>_xlfn.XLOOKUP(D490,products!$A$1:$A$49,products!$C$1:$C$49,,0)</f>
        <v>M</v>
      </c>
      <c r="K490" s="13">
        <f>_xlfn.XLOOKUP(D490,products!$A$1:$A$49,products!$D$1:$D$49,,0)</f>
        <v>0.2</v>
      </c>
      <c r="L490" s="5">
        <f>_xlfn.XLOOKUP(D490,products!$A$1:$A$49,products!$E$1:$E$49,,0)</f>
        <v>2.9849999999999999</v>
      </c>
      <c r="M490">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_xlfn.XLOOKUP(orders!D491,products!$A$1:$A$49,products!$B$1:$B$49,,0)</f>
        <v>Lib</v>
      </c>
      <c r="J491" t="str">
        <f>_xlfn.XLOOKUP(D491,products!$A$1:$A$49,products!$C$1:$C$49,,0)</f>
        <v>L</v>
      </c>
      <c r="K491" s="13">
        <f>_xlfn.XLOOKUP(D491,products!$A$1:$A$49,products!$D$1:$D$49,,0)</f>
        <v>1</v>
      </c>
      <c r="L491" s="5">
        <f>_xlfn.XLOOKUP(D491,products!$A$1:$A$49,products!$E$1:$E$49,,0)</f>
        <v>15.85</v>
      </c>
      <c r="M491">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_xlfn.XLOOKUP(orders!D492,products!$A$1:$A$49,products!$B$1:$B$49,,0)</f>
        <v>Lib</v>
      </c>
      <c r="J492" t="str">
        <f>_xlfn.XLOOKUP(D492,products!$A$1:$A$49,products!$C$1:$C$49,,0)</f>
        <v>D</v>
      </c>
      <c r="K492" s="13">
        <f>_xlfn.XLOOKUP(D492,products!$A$1:$A$49,products!$D$1:$D$49,,0)</f>
        <v>0.5</v>
      </c>
      <c r="L492" s="5">
        <f>_xlfn.XLOOKUP(D492,products!$A$1:$A$49,products!$E$1:$E$49,,0)</f>
        <v>7.77</v>
      </c>
      <c r="M492">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_xlfn.XLOOKUP(orders!D493,products!$A$1:$A$49,products!$B$1:$B$49,,0)</f>
        <v>Lib</v>
      </c>
      <c r="J493" t="str">
        <f>_xlfn.XLOOKUP(D493,products!$A$1:$A$49,products!$C$1:$C$49,,0)</f>
        <v>D</v>
      </c>
      <c r="K493" s="13">
        <f>_xlfn.XLOOKUP(D493,products!$A$1:$A$49,products!$D$1:$D$49,,0)</f>
        <v>0.2</v>
      </c>
      <c r="L493" s="5">
        <f>_xlfn.XLOOKUP(D493,products!$A$1:$A$49,products!$E$1:$E$49,,0)</f>
        <v>3.8849999999999998</v>
      </c>
      <c r="M493">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_xlfn.XLOOKUP(orders!D494,products!$A$1:$A$49,products!$B$1:$B$49,,0)</f>
        <v>Exc</v>
      </c>
      <c r="J494" t="str">
        <f>_xlfn.XLOOKUP(D494,products!$A$1:$A$49,products!$C$1:$C$49,,0)</f>
        <v>M</v>
      </c>
      <c r="K494" s="13">
        <f>_xlfn.XLOOKUP(D494,products!$A$1:$A$49,products!$D$1:$D$49,,0)</f>
        <v>0.2</v>
      </c>
      <c r="L494" s="5">
        <f>_xlfn.XLOOKUP(D494,products!$A$1:$A$49,products!$E$1:$E$49,,0)</f>
        <v>4.125</v>
      </c>
      <c r="M494">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_xlfn.XLOOKUP(orders!D495,products!$A$1:$A$49,products!$B$1:$B$49,,0)</f>
        <v>Rob</v>
      </c>
      <c r="J495" t="str">
        <f>_xlfn.XLOOKUP(D495,products!$A$1:$A$49,products!$C$1:$C$49,,0)</f>
        <v>M</v>
      </c>
      <c r="K495" s="13">
        <f>_xlfn.XLOOKUP(D495,products!$A$1:$A$49,products!$D$1:$D$49,,0)</f>
        <v>0.5</v>
      </c>
      <c r="L495" s="5">
        <f>_xlfn.XLOOKUP(D495,products!$A$1:$A$49,products!$E$1:$E$49,,0)</f>
        <v>5.97</v>
      </c>
      <c r="M49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_xlfn.XLOOKUP(orders!D496,products!$A$1:$A$49,products!$B$1:$B$49,,0)</f>
        <v>Lib</v>
      </c>
      <c r="J496" t="str">
        <f>_xlfn.XLOOKUP(D496,products!$A$1:$A$49,products!$C$1:$C$49,,0)</f>
        <v>L</v>
      </c>
      <c r="K496" s="13">
        <f>_xlfn.XLOOKUP(D496,products!$A$1:$A$49,products!$D$1:$D$49,,0)</f>
        <v>1</v>
      </c>
      <c r="L496" s="5">
        <f>_xlfn.XLOOKUP(D496,products!$A$1:$A$49,products!$E$1:$E$49,,0)</f>
        <v>15.85</v>
      </c>
      <c r="M496">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_xlfn.XLOOKUP(orders!D497,products!$A$1:$A$49,products!$B$1:$B$49,,0)</f>
        <v>Lib</v>
      </c>
      <c r="J497" t="str">
        <f>_xlfn.XLOOKUP(D497,products!$A$1:$A$49,products!$C$1:$C$49,,0)</f>
        <v>L</v>
      </c>
      <c r="K497" s="13">
        <f>_xlfn.XLOOKUP(D497,products!$A$1:$A$49,products!$D$1:$D$49,,0)</f>
        <v>1</v>
      </c>
      <c r="L497" s="5">
        <f>_xlfn.XLOOKUP(D497,products!$A$1:$A$49,products!$E$1:$E$49,,0)</f>
        <v>15.85</v>
      </c>
      <c r="M497">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_xlfn.XLOOKUP(orders!D498,products!$A$1:$A$49,products!$B$1:$B$49,,0)</f>
        <v>Exc</v>
      </c>
      <c r="J498" t="str">
        <f>_xlfn.XLOOKUP(D498,products!$A$1:$A$49,products!$C$1:$C$49,,0)</f>
        <v>D</v>
      </c>
      <c r="K498" s="13">
        <f>_xlfn.XLOOKUP(D498,products!$A$1:$A$49,products!$D$1:$D$49,,0)</f>
        <v>0.2</v>
      </c>
      <c r="L498" s="5">
        <f>_xlfn.XLOOKUP(D498,products!$A$1:$A$49,products!$E$1:$E$49,,0)</f>
        <v>3.645</v>
      </c>
      <c r="M498">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_xlfn.XLOOKUP(orders!D499,products!$A$1:$A$49,products!$B$1:$B$49,,0)</f>
        <v>Ara</v>
      </c>
      <c r="J499" t="str">
        <f>_xlfn.XLOOKUP(D499,products!$A$1:$A$49,products!$C$1:$C$49,,0)</f>
        <v>D</v>
      </c>
      <c r="K499" s="13">
        <f>_xlfn.XLOOKUP(D499,products!$A$1:$A$49,products!$D$1:$D$49,,0)</f>
        <v>1</v>
      </c>
      <c r="L499" s="5">
        <f>_xlfn.XLOOKUP(D499,products!$A$1:$A$49,products!$E$1:$E$49,,0)</f>
        <v>9.9499999999999993</v>
      </c>
      <c r="M499">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_xlfn.XLOOKUP(orders!D500,products!$A$1:$A$49,products!$B$1:$B$49,,0)</f>
        <v>Rob</v>
      </c>
      <c r="J500" t="str">
        <f>_xlfn.XLOOKUP(D500,products!$A$1:$A$49,products!$C$1:$C$49,,0)</f>
        <v>M</v>
      </c>
      <c r="K500" s="13">
        <f>_xlfn.XLOOKUP(D500,products!$A$1:$A$49,products!$D$1:$D$49,,0)</f>
        <v>1</v>
      </c>
      <c r="L500" s="5">
        <f>_xlfn.XLOOKUP(D500,products!$A$1:$A$49,products!$E$1:$E$49,,0)</f>
        <v>9.9499999999999993</v>
      </c>
      <c r="M500">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_xlfn.XLOOKUP(orders!D501,products!$A$1:$A$49,products!$B$1:$B$49,,0)</f>
        <v>Rob</v>
      </c>
      <c r="J501" t="str">
        <f>_xlfn.XLOOKUP(D501,products!$A$1:$A$49,products!$C$1:$C$49,,0)</f>
        <v>D</v>
      </c>
      <c r="K501" s="13">
        <f>_xlfn.XLOOKUP(D501,products!$A$1:$A$49,products!$D$1:$D$49,,0)</f>
        <v>0.2</v>
      </c>
      <c r="L501" s="5">
        <f>_xlfn.XLOOKUP(D501,products!$A$1:$A$49,products!$E$1:$E$49,,0)</f>
        <v>2.6849999999999996</v>
      </c>
      <c r="M501">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_xlfn.XLOOKUP(orders!D502,products!$A$1:$A$49,products!$B$1:$B$49,,0)</f>
        <v>Rob</v>
      </c>
      <c r="J502" t="str">
        <f>_xlfn.XLOOKUP(D502,products!$A$1:$A$49,products!$C$1:$C$49,,0)</f>
        <v>L</v>
      </c>
      <c r="K502" s="13">
        <f>_xlfn.XLOOKUP(D502,products!$A$1:$A$49,products!$D$1:$D$49,,0)</f>
        <v>1</v>
      </c>
      <c r="L502" s="5">
        <f>_xlfn.XLOOKUP(D502,products!$A$1:$A$49,products!$E$1:$E$49,,0)</f>
        <v>11.95</v>
      </c>
      <c r="M502">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_xlfn.XLOOKUP(orders!D503,products!$A$1:$A$49,products!$B$1:$B$49,,0)</f>
        <v>Rob</v>
      </c>
      <c r="J503" t="str">
        <f>_xlfn.XLOOKUP(D503,products!$A$1:$A$49,products!$C$1:$C$49,,0)</f>
        <v>M</v>
      </c>
      <c r="K503" s="13">
        <f>_xlfn.XLOOKUP(D503,products!$A$1:$A$49,products!$D$1:$D$49,,0)</f>
        <v>0.2</v>
      </c>
      <c r="L503" s="5">
        <f>_xlfn.XLOOKUP(D503,products!$A$1:$A$49,products!$E$1:$E$49,,0)</f>
        <v>2.9849999999999999</v>
      </c>
      <c r="M503">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_xlfn.XLOOKUP(orders!D504,products!$A$1:$A$49,products!$B$1:$B$49,,0)</f>
        <v>Exc</v>
      </c>
      <c r="J504" t="str">
        <f>_xlfn.XLOOKUP(D504,products!$A$1:$A$49,products!$C$1:$C$49,,0)</f>
        <v>M</v>
      </c>
      <c r="K504" s="13">
        <f>_xlfn.XLOOKUP(D504,products!$A$1:$A$49,products!$D$1:$D$49,,0)</f>
        <v>0.2</v>
      </c>
      <c r="L504" s="5">
        <f>_xlfn.XLOOKUP(D504,products!$A$1:$A$49,products!$E$1:$E$49,,0)</f>
        <v>4.125</v>
      </c>
      <c r="M504">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_xlfn.XLOOKUP(orders!D505,products!$A$1:$A$49,products!$B$1:$B$49,,0)</f>
        <v>Lib</v>
      </c>
      <c r="J505" t="str">
        <f>_xlfn.XLOOKUP(D505,products!$A$1:$A$49,products!$C$1:$C$49,,0)</f>
        <v>D</v>
      </c>
      <c r="K505" s="13">
        <f>_xlfn.XLOOKUP(D505,products!$A$1:$A$49,products!$D$1:$D$49,,0)</f>
        <v>1</v>
      </c>
      <c r="L505" s="5">
        <f>_xlfn.XLOOKUP(D505,products!$A$1:$A$49,products!$E$1:$E$49,,0)</f>
        <v>12.95</v>
      </c>
      <c r="M50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_xlfn.XLOOKUP(orders!D506,products!$A$1:$A$49,products!$B$1:$B$49,,0)</f>
        <v>Lib</v>
      </c>
      <c r="J506" t="str">
        <f>_xlfn.XLOOKUP(D506,products!$A$1:$A$49,products!$C$1:$C$49,,0)</f>
        <v>L</v>
      </c>
      <c r="K506" s="13">
        <f>_xlfn.XLOOKUP(D506,products!$A$1:$A$49,products!$D$1:$D$49,,0)</f>
        <v>0.2</v>
      </c>
      <c r="L506" s="5">
        <f>_xlfn.XLOOKUP(D506,products!$A$1:$A$49,products!$E$1:$E$49,,0)</f>
        <v>4.7549999999999999</v>
      </c>
      <c r="M506">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_xlfn.XLOOKUP(orders!D507,products!$A$1:$A$49,products!$B$1:$B$49,,0)</f>
        <v>Lib</v>
      </c>
      <c r="J507" t="str">
        <f>_xlfn.XLOOKUP(D507,products!$A$1:$A$49,products!$C$1:$C$49,,0)</f>
        <v>M</v>
      </c>
      <c r="K507" s="13">
        <f>_xlfn.XLOOKUP(D507,products!$A$1:$A$49,products!$D$1:$D$49,,0)</f>
        <v>0.2</v>
      </c>
      <c r="L507" s="5">
        <f>_xlfn.XLOOKUP(D507,products!$A$1:$A$49,products!$E$1:$E$49,,0)</f>
        <v>4.3650000000000002</v>
      </c>
      <c r="M507">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_xlfn.XLOOKUP(orders!D508,products!$A$1:$A$49,products!$B$1:$B$49,,0)</f>
        <v>Ara</v>
      </c>
      <c r="J508" t="str">
        <f>_xlfn.XLOOKUP(D508,products!$A$1:$A$49,products!$C$1:$C$49,,0)</f>
        <v>L</v>
      </c>
      <c r="K508" s="13">
        <f>_xlfn.XLOOKUP(D508,products!$A$1:$A$49,products!$D$1:$D$49,,0)</f>
        <v>1</v>
      </c>
      <c r="L508" s="5">
        <f>_xlfn.XLOOKUP(D508,products!$A$1:$A$49,products!$E$1:$E$49,,0)</f>
        <v>12.95</v>
      </c>
      <c r="M508">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_xlfn.XLOOKUP(orders!D509,products!$A$1:$A$49,products!$B$1:$B$49,,0)</f>
        <v>Ara</v>
      </c>
      <c r="J509" t="str">
        <f>_xlfn.XLOOKUP(D509,products!$A$1:$A$49,products!$C$1:$C$49,,0)</f>
        <v>L</v>
      </c>
      <c r="K509" s="13">
        <f>_xlfn.XLOOKUP(D509,products!$A$1:$A$49,products!$D$1:$D$49,,0)</f>
        <v>2.5</v>
      </c>
      <c r="L509" s="5">
        <f>_xlfn.XLOOKUP(D509,products!$A$1:$A$49,products!$E$1:$E$49,,0)</f>
        <v>29.784999999999997</v>
      </c>
      <c r="M509">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_xlfn.XLOOKUP(orders!D510,products!$A$1:$A$49,products!$B$1:$B$49,,0)</f>
        <v>Lib</v>
      </c>
      <c r="J510" t="str">
        <f>_xlfn.XLOOKUP(D510,products!$A$1:$A$49,products!$C$1:$C$49,,0)</f>
        <v>D</v>
      </c>
      <c r="K510" s="13">
        <f>_xlfn.XLOOKUP(D510,products!$A$1:$A$49,products!$D$1:$D$49,,0)</f>
        <v>0.5</v>
      </c>
      <c r="L510" s="5">
        <f>_xlfn.XLOOKUP(D510,products!$A$1:$A$49,products!$E$1:$E$49,,0)</f>
        <v>7.77</v>
      </c>
      <c r="M510">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_xlfn.XLOOKUP(orders!D511,products!$A$1:$A$49,products!$B$1:$B$49,,0)</f>
        <v>Ara</v>
      </c>
      <c r="J511" t="str">
        <f>_xlfn.XLOOKUP(D511,products!$A$1:$A$49,products!$C$1:$C$49,,0)</f>
        <v>D</v>
      </c>
      <c r="K511" s="13">
        <f>_xlfn.XLOOKUP(D511,products!$A$1:$A$49,products!$D$1:$D$49,,0)</f>
        <v>1</v>
      </c>
      <c r="L511" s="5">
        <f>_xlfn.XLOOKUP(D511,products!$A$1:$A$49,products!$E$1:$E$49,,0)</f>
        <v>9.9499999999999993</v>
      </c>
      <c r="M511">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_xlfn.XLOOKUP(orders!D512,products!$A$1:$A$49,products!$B$1:$B$49,,0)</f>
        <v>Rob</v>
      </c>
      <c r="J512" t="str">
        <f>_xlfn.XLOOKUP(D512,products!$A$1:$A$49,products!$C$1:$C$49,,0)</f>
        <v>L</v>
      </c>
      <c r="K512" s="13">
        <f>_xlfn.XLOOKUP(D512,products!$A$1:$A$49,products!$D$1:$D$49,,0)</f>
        <v>0.2</v>
      </c>
      <c r="L512" s="5">
        <f>_xlfn.XLOOKUP(D512,products!$A$1:$A$49,products!$E$1:$E$49,,0)</f>
        <v>3.5849999999999995</v>
      </c>
      <c r="M512">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_xlfn.XLOOKUP(orders!D513,products!$A$1:$A$49,products!$B$1:$B$49,,0)</f>
        <v>Ara</v>
      </c>
      <c r="J513" t="str">
        <f>_xlfn.XLOOKUP(D513,products!$A$1:$A$49,products!$C$1:$C$49,,0)</f>
        <v>M</v>
      </c>
      <c r="K513" s="13">
        <f>_xlfn.XLOOKUP(D513,products!$A$1:$A$49,products!$D$1:$D$49,,0)</f>
        <v>0.2</v>
      </c>
      <c r="L513" s="5">
        <f>_xlfn.XLOOKUP(D513,products!$A$1:$A$49,products!$E$1:$E$49,,0)</f>
        <v>3.375</v>
      </c>
      <c r="M513">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_xlfn.XLOOKUP(orders!D514,products!$A$1:$A$49,products!$B$1:$B$49,,0)</f>
        <v>Lib</v>
      </c>
      <c r="J514" t="str">
        <f>_xlfn.XLOOKUP(D514,products!$A$1:$A$49,products!$C$1:$C$49,,0)</f>
        <v>L</v>
      </c>
      <c r="K514" s="13">
        <f>_xlfn.XLOOKUP(D514,products!$A$1:$A$49,products!$D$1:$D$49,,0)</f>
        <v>1</v>
      </c>
      <c r="L514" s="5">
        <f>_xlfn.XLOOKUP(D514,products!$A$1:$A$49,products!$E$1:$E$49,,0)</f>
        <v>15.85</v>
      </c>
      <c r="M514">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_xlfn.XLOOKUP(orders!D515,products!$A$1:$A$49,products!$B$1:$B$49,,0)</f>
        <v>Lib</v>
      </c>
      <c r="J515" t="str">
        <f>_xlfn.XLOOKUP(D515,products!$A$1:$A$49,products!$C$1:$C$49,,0)</f>
        <v>L</v>
      </c>
      <c r="K515" s="13">
        <f>_xlfn.XLOOKUP(D515,products!$A$1:$A$49,products!$D$1:$D$49,,0)</f>
        <v>1</v>
      </c>
      <c r="L515" s="5">
        <f>_xlfn.XLOOKUP(D515,products!$A$1:$A$49,products!$E$1:$E$49,,0)</f>
        <v>15.85</v>
      </c>
      <c r="M51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_xlfn.XLOOKUP(orders!D516,products!$A$1:$A$49,products!$B$1:$B$49,,0)</f>
        <v>Lib</v>
      </c>
      <c r="J516" t="str">
        <f>_xlfn.XLOOKUP(D516,products!$A$1:$A$49,products!$C$1:$C$49,,0)</f>
        <v>M</v>
      </c>
      <c r="K516" s="13">
        <f>_xlfn.XLOOKUP(D516,products!$A$1:$A$49,products!$D$1:$D$49,,0)</f>
        <v>0.2</v>
      </c>
      <c r="L516" s="5">
        <f>_xlfn.XLOOKUP(D516,products!$A$1:$A$49,products!$E$1:$E$49,,0)</f>
        <v>4.3650000000000002</v>
      </c>
      <c r="M516">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_xlfn.XLOOKUP(orders!D517,products!$A$1:$A$49,products!$B$1:$B$49,,0)</f>
        <v>Rob</v>
      </c>
      <c r="J517" t="str">
        <f>_xlfn.XLOOKUP(D517,products!$A$1:$A$49,products!$C$1:$C$49,,0)</f>
        <v>L</v>
      </c>
      <c r="K517" s="13">
        <f>_xlfn.XLOOKUP(D517,products!$A$1:$A$49,products!$D$1:$D$49,,0)</f>
        <v>0.5</v>
      </c>
      <c r="L517" s="5">
        <f>_xlfn.XLOOKUP(D517,products!$A$1:$A$49,products!$E$1:$E$49,,0)</f>
        <v>7.169999999999999</v>
      </c>
      <c r="M517">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_xlfn.XLOOKUP(orders!D518,products!$A$1:$A$49,products!$B$1:$B$49,,0)</f>
        <v>Rob</v>
      </c>
      <c r="J518" t="str">
        <f>_xlfn.XLOOKUP(D518,products!$A$1:$A$49,products!$C$1:$C$49,,0)</f>
        <v>D</v>
      </c>
      <c r="K518" s="13">
        <f>_xlfn.XLOOKUP(D518,products!$A$1:$A$49,products!$D$1:$D$49,,0)</f>
        <v>2.5</v>
      </c>
      <c r="L518" s="5">
        <f>_xlfn.XLOOKUP(D518,products!$A$1:$A$49,products!$E$1:$E$49,,0)</f>
        <v>20.584999999999997</v>
      </c>
      <c r="M518">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_xlfn.XLOOKUP(orders!D519,products!$A$1:$A$49,products!$B$1:$B$49,,0)</f>
        <v>Lib</v>
      </c>
      <c r="J519" t="str">
        <f>_xlfn.XLOOKUP(D519,products!$A$1:$A$49,products!$C$1:$C$49,,0)</f>
        <v>D</v>
      </c>
      <c r="K519" s="13">
        <f>_xlfn.XLOOKUP(D519,products!$A$1:$A$49,products!$D$1:$D$49,,0)</f>
        <v>0.2</v>
      </c>
      <c r="L519" s="5">
        <f>_xlfn.XLOOKUP(D519,products!$A$1:$A$49,products!$E$1:$E$49,,0)</f>
        <v>3.8849999999999998</v>
      </c>
      <c r="M519">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_xlfn.XLOOKUP(orders!D520,products!$A$1:$A$49,products!$B$1:$B$49,,0)</f>
        <v>Exc</v>
      </c>
      <c r="J520" t="str">
        <f>_xlfn.XLOOKUP(D520,products!$A$1:$A$49,products!$C$1:$C$49,,0)</f>
        <v>D</v>
      </c>
      <c r="K520" s="13">
        <f>_xlfn.XLOOKUP(D520,products!$A$1:$A$49,products!$D$1:$D$49,,0)</f>
        <v>2.5</v>
      </c>
      <c r="L520" s="5">
        <f>_xlfn.XLOOKUP(D520,products!$A$1:$A$49,products!$E$1:$E$49,,0)</f>
        <v>27.945</v>
      </c>
      <c r="M520">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_xlfn.XLOOKUP(orders!D521,products!$A$1:$A$49,products!$B$1:$B$49,,0)</f>
        <v>Ara</v>
      </c>
      <c r="J521" t="str">
        <f>_xlfn.XLOOKUP(D521,products!$A$1:$A$49,products!$C$1:$C$49,,0)</f>
        <v>D</v>
      </c>
      <c r="K521" s="13">
        <f>_xlfn.XLOOKUP(D521,products!$A$1:$A$49,products!$D$1:$D$49,,0)</f>
        <v>0.5</v>
      </c>
      <c r="L521" s="5">
        <f>_xlfn.XLOOKUP(D521,products!$A$1:$A$49,products!$E$1:$E$49,,0)</f>
        <v>5.97</v>
      </c>
      <c r="M521">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_xlfn.XLOOKUP(orders!D522,products!$A$1:$A$49,products!$B$1:$B$49,,0)</f>
        <v>Lib</v>
      </c>
      <c r="J522" t="str">
        <f>_xlfn.XLOOKUP(D522,products!$A$1:$A$49,products!$C$1:$C$49,,0)</f>
        <v>D</v>
      </c>
      <c r="K522" s="13">
        <f>_xlfn.XLOOKUP(D522,products!$A$1:$A$49,products!$D$1:$D$49,,0)</f>
        <v>0.2</v>
      </c>
      <c r="L522" s="5">
        <f>_xlfn.XLOOKUP(D522,products!$A$1:$A$49,products!$E$1:$E$49,,0)</f>
        <v>3.8849999999999998</v>
      </c>
      <c r="M522">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_xlfn.XLOOKUP(orders!D523,products!$A$1:$A$49,products!$B$1:$B$49,,0)</f>
        <v>Rob</v>
      </c>
      <c r="J523" t="str">
        <f>_xlfn.XLOOKUP(D523,products!$A$1:$A$49,products!$C$1:$C$49,,0)</f>
        <v>M</v>
      </c>
      <c r="K523" s="13">
        <f>_xlfn.XLOOKUP(D523,products!$A$1:$A$49,products!$D$1:$D$49,,0)</f>
        <v>1</v>
      </c>
      <c r="L523" s="5">
        <f>_xlfn.XLOOKUP(D523,products!$A$1:$A$49,products!$E$1:$E$49,,0)</f>
        <v>9.9499999999999993</v>
      </c>
      <c r="M523">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_xlfn.XLOOKUP(orders!D524,products!$A$1:$A$49,products!$B$1:$B$49,,0)</f>
        <v>Rob</v>
      </c>
      <c r="J524" t="str">
        <f>_xlfn.XLOOKUP(D524,products!$A$1:$A$49,products!$C$1:$C$49,,0)</f>
        <v>M</v>
      </c>
      <c r="K524" s="13">
        <f>_xlfn.XLOOKUP(D524,products!$A$1:$A$49,products!$D$1:$D$49,,0)</f>
        <v>0.5</v>
      </c>
      <c r="L524" s="5">
        <f>_xlfn.XLOOKUP(D524,products!$A$1:$A$49,products!$E$1:$E$49,,0)</f>
        <v>5.97</v>
      </c>
      <c r="M524">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_xlfn.XLOOKUP(orders!D525,products!$A$1:$A$49,products!$B$1:$B$49,,0)</f>
        <v>Lib</v>
      </c>
      <c r="J525" t="str">
        <f>_xlfn.XLOOKUP(D525,products!$A$1:$A$49,products!$C$1:$C$49,,0)</f>
        <v>D</v>
      </c>
      <c r="K525" s="13">
        <f>_xlfn.XLOOKUP(D525,products!$A$1:$A$49,products!$D$1:$D$49,,0)</f>
        <v>2.5</v>
      </c>
      <c r="L525" s="5">
        <f>_xlfn.XLOOKUP(D525,products!$A$1:$A$49,products!$E$1:$E$49,,0)</f>
        <v>29.784999999999997</v>
      </c>
      <c r="M52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_xlfn.XLOOKUP(orders!D526,products!$A$1:$A$49,products!$B$1:$B$49,,0)</f>
        <v>Lib</v>
      </c>
      <c r="J526" t="str">
        <f>_xlfn.XLOOKUP(D526,products!$A$1:$A$49,products!$C$1:$C$49,,0)</f>
        <v>L</v>
      </c>
      <c r="K526" s="13">
        <f>_xlfn.XLOOKUP(D526,products!$A$1:$A$49,products!$D$1:$D$49,,0)</f>
        <v>2.5</v>
      </c>
      <c r="L526" s="5">
        <f>_xlfn.XLOOKUP(D526,products!$A$1:$A$49,products!$E$1:$E$49,,0)</f>
        <v>36.454999999999998</v>
      </c>
      <c r="M526">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_xlfn.XLOOKUP(orders!D527,products!$A$1:$A$49,products!$B$1:$B$49,,0)</f>
        <v>Rob</v>
      </c>
      <c r="J527" t="str">
        <f>_xlfn.XLOOKUP(D527,products!$A$1:$A$49,products!$C$1:$C$49,,0)</f>
        <v>D</v>
      </c>
      <c r="K527" s="13">
        <f>_xlfn.XLOOKUP(D527,products!$A$1:$A$49,products!$D$1:$D$49,,0)</f>
        <v>0.2</v>
      </c>
      <c r="L527" s="5">
        <f>_xlfn.XLOOKUP(D527,products!$A$1:$A$49,products!$E$1:$E$49,,0)</f>
        <v>2.6849999999999996</v>
      </c>
      <c r="M527">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_xlfn.XLOOKUP(orders!D528,products!$A$1:$A$49,products!$B$1:$B$49,,0)</f>
        <v>Exc</v>
      </c>
      <c r="J528" t="str">
        <f>_xlfn.XLOOKUP(D528,products!$A$1:$A$49,products!$C$1:$C$49,,0)</f>
        <v>M</v>
      </c>
      <c r="K528" s="13">
        <f>_xlfn.XLOOKUP(D528,products!$A$1:$A$49,products!$D$1:$D$49,,0)</f>
        <v>2.5</v>
      </c>
      <c r="L528" s="5">
        <f>_xlfn.XLOOKUP(D528,products!$A$1:$A$49,products!$E$1:$E$49,,0)</f>
        <v>31.624999999999996</v>
      </c>
      <c r="M528">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_xlfn.XLOOKUP(orders!D529,products!$A$1:$A$49,products!$B$1:$B$49,,0)</f>
        <v>Exc</v>
      </c>
      <c r="J529" t="str">
        <f>_xlfn.XLOOKUP(D529,products!$A$1:$A$49,products!$C$1:$C$49,,0)</f>
        <v>M</v>
      </c>
      <c r="K529" s="13">
        <f>_xlfn.XLOOKUP(D529,products!$A$1:$A$49,products!$D$1:$D$49,,0)</f>
        <v>0.5</v>
      </c>
      <c r="L529" s="5">
        <f>_xlfn.XLOOKUP(D529,products!$A$1:$A$49,products!$E$1:$E$49,,0)</f>
        <v>8.25</v>
      </c>
      <c r="M529">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_xlfn.XLOOKUP(orders!D530,products!$A$1:$A$49,products!$B$1:$B$49,,0)</f>
        <v>Exc</v>
      </c>
      <c r="J530" t="str">
        <f>_xlfn.XLOOKUP(D530,products!$A$1:$A$49,products!$C$1:$C$49,,0)</f>
        <v>L</v>
      </c>
      <c r="K530" s="13">
        <f>_xlfn.XLOOKUP(D530,products!$A$1:$A$49,products!$D$1:$D$49,,0)</f>
        <v>0.5</v>
      </c>
      <c r="L530" s="5">
        <f>_xlfn.XLOOKUP(D530,products!$A$1:$A$49,products!$E$1:$E$49,,0)</f>
        <v>8.91</v>
      </c>
      <c r="M530">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_xlfn.XLOOKUP(orders!D531,products!$A$1:$A$49,products!$B$1:$B$49,,0)</f>
        <v>Rob</v>
      </c>
      <c r="J531" t="str">
        <f>_xlfn.XLOOKUP(D531,products!$A$1:$A$49,products!$C$1:$C$49,,0)</f>
        <v>M</v>
      </c>
      <c r="K531" s="13">
        <f>_xlfn.XLOOKUP(D531,products!$A$1:$A$49,products!$D$1:$D$49,,0)</f>
        <v>1</v>
      </c>
      <c r="L531" s="5">
        <f>_xlfn.XLOOKUP(D531,products!$A$1:$A$49,products!$E$1:$E$49,,0)</f>
        <v>9.9499999999999993</v>
      </c>
      <c r="M531">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_xlfn.XLOOKUP(orders!D532,products!$A$1:$A$49,products!$B$1:$B$49,,0)</f>
        <v>Rob</v>
      </c>
      <c r="J532" t="str">
        <f>_xlfn.XLOOKUP(D532,products!$A$1:$A$49,products!$C$1:$C$49,,0)</f>
        <v>M</v>
      </c>
      <c r="K532" s="13">
        <f>_xlfn.XLOOKUP(D532,products!$A$1:$A$49,products!$D$1:$D$49,,0)</f>
        <v>1</v>
      </c>
      <c r="L532" s="5">
        <f>_xlfn.XLOOKUP(D532,products!$A$1:$A$49,products!$E$1:$E$49,,0)</f>
        <v>9.9499999999999993</v>
      </c>
      <c r="M532">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_xlfn.XLOOKUP(orders!D533,products!$A$1:$A$49,products!$B$1:$B$49,,0)</f>
        <v>Rob</v>
      </c>
      <c r="J533" t="str">
        <f>_xlfn.XLOOKUP(D533,products!$A$1:$A$49,products!$C$1:$C$49,,0)</f>
        <v>D</v>
      </c>
      <c r="K533" s="13">
        <f>_xlfn.XLOOKUP(D533,products!$A$1:$A$49,products!$D$1:$D$49,,0)</f>
        <v>1</v>
      </c>
      <c r="L533" s="5">
        <f>_xlfn.XLOOKUP(D533,products!$A$1:$A$49,products!$E$1:$E$49,,0)</f>
        <v>8.9499999999999993</v>
      </c>
      <c r="M533">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_xlfn.XLOOKUP(orders!D534,products!$A$1:$A$49,products!$B$1:$B$49,,0)</f>
        <v>Exc</v>
      </c>
      <c r="J534" t="str">
        <f>_xlfn.XLOOKUP(D534,products!$A$1:$A$49,products!$C$1:$C$49,,0)</f>
        <v>M</v>
      </c>
      <c r="K534" s="13">
        <f>_xlfn.XLOOKUP(D534,products!$A$1:$A$49,products!$D$1:$D$49,,0)</f>
        <v>0.5</v>
      </c>
      <c r="L534" s="5">
        <f>_xlfn.XLOOKUP(D534,products!$A$1:$A$49,products!$E$1:$E$49,,0)</f>
        <v>8.25</v>
      </c>
      <c r="M534">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_xlfn.XLOOKUP(orders!D535,products!$A$1:$A$49,products!$B$1:$B$49,,0)</f>
        <v>Rob</v>
      </c>
      <c r="J535" t="str">
        <f>_xlfn.XLOOKUP(D535,products!$A$1:$A$49,products!$C$1:$C$49,,0)</f>
        <v>D</v>
      </c>
      <c r="K535" s="13">
        <f>_xlfn.XLOOKUP(D535,products!$A$1:$A$49,products!$D$1:$D$49,,0)</f>
        <v>0.5</v>
      </c>
      <c r="L535" s="5">
        <f>_xlfn.XLOOKUP(D535,products!$A$1:$A$49,products!$E$1:$E$49,,0)</f>
        <v>5.3699999999999992</v>
      </c>
      <c r="M53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_xlfn.XLOOKUP(orders!D536,products!$A$1:$A$49,products!$B$1:$B$49,,0)</f>
        <v>Rob</v>
      </c>
      <c r="J536" t="str">
        <f>_xlfn.XLOOKUP(D536,products!$A$1:$A$49,products!$C$1:$C$49,,0)</f>
        <v>M</v>
      </c>
      <c r="K536" s="13">
        <f>_xlfn.XLOOKUP(D536,products!$A$1:$A$49,products!$D$1:$D$49,,0)</f>
        <v>2.5</v>
      </c>
      <c r="L536" s="5">
        <f>_xlfn.XLOOKUP(D536,products!$A$1:$A$49,products!$E$1:$E$49,,0)</f>
        <v>22.884999999999998</v>
      </c>
      <c r="M536">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_xlfn.XLOOKUP(orders!D537,products!$A$1:$A$49,products!$B$1:$B$49,,0)</f>
        <v>Lib</v>
      </c>
      <c r="J537" t="str">
        <f>_xlfn.XLOOKUP(D537,products!$A$1:$A$49,products!$C$1:$C$49,,0)</f>
        <v>L</v>
      </c>
      <c r="K537" s="13">
        <f>_xlfn.XLOOKUP(D537,products!$A$1:$A$49,products!$D$1:$D$49,,0)</f>
        <v>0.2</v>
      </c>
      <c r="L537" s="5">
        <f>_xlfn.XLOOKUP(D537,products!$A$1:$A$49,products!$E$1:$E$49,,0)</f>
        <v>4.7549999999999999</v>
      </c>
      <c r="M537">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_xlfn.XLOOKUP(orders!D538,products!$A$1:$A$49,products!$B$1:$B$49,,0)</f>
        <v>Rob</v>
      </c>
      <c r="J538" t="str">
        <f>_xlfn.XLOOKUP(D538,products!$A$1:$A$49,products!$C$1:$C$49,,0)</f>
        <v>D</v>
      </c>
      <c r="K538" s="13">
        <f>_xlfn.XLOOKUP(D538,products!$A$1:$A$49,products!$D$1:$D$49,,0)</f>
        <v>0.2</v>
      </c>
      <c r="L538" s="5">
        <f>_xlfn.XLOOKUP(D538,products!$A$1:$A$49,products!$E$1:$E$49,,0)</f>
        <v>2.6849999999999996</v>
      </c>
      <c r="M538">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_xlfn.XLOOKUP(orders!D539,products!$A$1:$A$49,products!$B$1:$B$49,,0)</f>
        <v>Exc</v>
      </c>
      <c r="J539" t="str">
        <f>_xlfn.XLOOKUP(D539,products!$A$1:$A$49,products!$C$1:$C$49,,0)</f>
        <v>D</v>
      </c>
      <c r="K539" s="13">
        <f>_xlfn.XLOOKUP(D539,products!$A$1:$A$49,products!$D$1:$D$49,,0)</f>
        <v>2.5</v>
      </c>
      <c r="L539" s="5">
        <f>_xlfn.XLOOKUP(D539,products!$A$1:$A$49,products!$E$1:$E$49,,0)</f>
        <v>27.945</v>
      </c>
      <c r="M539">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_xlfn.XLOOKUP(orders!D540,products!$A$1:$A$49,products!$B$1:$B$49,,0)</f>
        <v>Rob</v>
      </c>
      <c r="J540" t="str">
        <f>_xlfn.XLOOKUP(D540,products!$A$1:$A$49,products!$C$1:$C$49,,0)</f>
        <v>D</v>
      </c>
      <c r="K540" s="13">
        <f>_xlfn.XLOOKUP(D540,products!$A$1:$A$49,products!$D$1:$D$49,,0)</f>
        <v>0.2</v>
      </c>
      <c r="L540" s="5">
        <f>_xlfn.XLOOKUP(D540,products!$A$1:$A$49,products!$E$1:$E$49,,0)</f>
        <v>2.6849999999999996</v>
      </c>
      <c r="M540">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_xlfn.XLOOKUP(orders!D541,products!$A$1:$A$49,products!$B$1:$B$49,,0)</f>
        <v>Rob</v>
      </c>
      <c r="J541" t="str">
        <f>_xlfn.XLOOKUP(D541,products!$A$1:$A$49,products!$C$1:$C$49,,0)</f>
        <v>D</v>
      </c>
      <c r="K541" s="13">
        <f>_xlfn.XLOOKUP(D541,products!$A$1:$A$49,products!$D$1:$D$49,,0)</f>
        <v>0.5</v>
      </c>
      <c r="L541" s="5">
        <f>_xlfn.XLOOKUP(D541,products!$A$1:$A$49,products!$E$1:$E$49,,0)</f>
        <v>5.3699999999999992</v>
      </c>
      <c r="M541">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_xlfn.XLOOKUP(orders!D542,products!$A$1:$A$49,products!$B$1:$B$49,,0)</f>
        <v>Lib</v>
      </c>
      <c r="J542" t="str">
        <f>_xlfn.XLOOKUP(D542,products!$A$1:$A$49,products!$C$1:$C$49,,0)</f>
        <v>L</v>
      </c>
      <c r="K542" s="13">
        <f>_xlfn.XLOOKUP(D542,products!$A$1:$A$49,products!$D$1:$D$49,,0)</f>
        <v>1</v>
      </c>
      <c r="L542" s="5">
        <f>_xlfn.XLOOKUP(D542,products!$A$1:$A$49,products!$E$1:$E$49,,0)</f>
        <v>15.85</v>
      </c>
      <c r="M542">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_xlfn.XLOOKUP(orders!D543,products!$A$1:$A$49,products!$B$1:$B$49,,0)</f>
        <v>Ara</v>
      </c>
      <c r="J543" t="str">
        <f>_xlfn.XLOOKUP(D543,products!$A$1:$A$49,products!$C$1:$C$49,,0)</f>
        <v>D</v>
      </c>
      <c r="K543" s="13">
        <f>_xlfn.XLOOKUP(D543,products!$A$1:$A$49,products!$D$1:$D$49,,0)</f>
        <v>2.5</v>
      </c>
      <c r="L543" s="5">
        <f>_xlfn.XLOOKUP(D543,products!$A$1:$A$49,products!$E$1:$E$49,,0)</f>
        <v>22.884999999999998</v>
      </c>
      <c r="M543">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_xlfn.XLOOKUP(orders!D544,products!$A$1:$A$49,products!$B$1:$B$49,,0)</f>
        <v>Ara</v>
      </c>
      <c r="J544" t="str">
        <f>_xlfn.XLOOKUP(D544,products!$A$1:$A$49,products!$C$1:$C$49,,0)</f>
        <v>M</v>
      </c>
      <c r="K544" s="13">
        <f>_xlfn.XLOOKUP(D544,products!$A$1:$A$49,products!$D$1:$D$49,,0)</f>
        <v>2.5</v>
      </c>
      <c r="L544" s="5">
        <f>_xlfn.XLOOKUP(D544,products!$A$1:$A$49,products!$E$1:$E$49,,0)</f>
        <v>25.874999999999996</v>
      </c>
      <c r="M544">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_xlfn.XLOOKUP(orders!D545,products!$A$1:$A$49,products!$B$1:$B$49,,0)</f>
        <v>Rob</v>
      </c>
      <c r="J545" t="str">
        <f>_xlfn.XLOOKUP(D545,products!$A$1:$A$49,products!$C$1:$C$49,,0)</f>
        <v>L</v>
      </c>
      <c r="K545" s="13">
        <f>_xlfn.XLOOKUP(D545,products!$A$1:$A$49,products!$D$1:$D$49,,0)</f>
        <v>2.5</v>
      </c>
      <c r="L545" s="5">
        <f>_xlfn.XLOOKUP(D545,products!$A$1:$A$49,products!$E$1:$E$49,,0)</f>
        <v>27.484999999999996</v>
      </c>
      <c r="M54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_xlfn.XLOOKUP(orders!D546,products!$A$1:$A$49,products!$B$1:$B$49,,0)</f>
        <v>Ara</v>
      </c>
      <c r="J546" t="str">
        <f>_xlfn.XLOOKUP(D546,products!$A$1:$A$49,products!$C$1:$C$49,,0)</f>
        <v>L</v>
      </c>
      <c r="K546" s="13">
        <f>_xlfn.XLOOKUP(D546,products!$A$1:$A$49,products!$D$1:$D$49,,0)</f>
        <v>0.5</v>
      </c>
      <c r="L546" s="5">
        <f>_xlfn.XLOOKUP(D546,products!$A$1:$A$49,products!$E$1:$E$49,,0)</f>
        <v>7.77</v>
      </c>
      <c r="M546">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_xlfn.XLOOKUP(orders!D547,products!$A$1:$A$49,products!$B$1:$B$49,,0)</f>
        <v>Lib</v>
      </c>
      <c r="J547" t="str">
        <f>_xlfn.XLOOKUP(D547,products!$A$1:$A$49,products!$C$1:$C$49,,0)</f>
        <v>D</v>
      </c>
      <c r="K547" s="13">
        <f>_xlfn.XLOOKUP(D547,products!$A$1:$A$49,products!$D$1:$D$49,,0)</f>
        <v>0.2</v>
      </c>
      <c r="L547" s="5">
        <f>_xlfn.XLOOKUP(D547,products!$A$1:$A$49,products!$E$1:$E$49,,0)</f>
        <v>3.8849999999999998</v>
      </c>
      <c r="M547">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_xlfn.XLOOKUP(orders!D548,products!$A$1:$A$49,products!$B$1:$B$49,,0)</f>
        <v>Exc</v>
      </c>
      <c r="J548" t="str">
        <f>_xlfn.XLOOKUP(D548,products!$A$1:$A$49,products!$C$1:$C$49,,0)</f>
        <v>D</v>
      </c>
      <c r="K548" s="13">
        <f>_xlfn.XLOOKUP(D548,products!$A$1:$A$49,products!$D$1:$D$49,,0)</f>
        <v>2.5</v>
      </c>
      <c r="L548" s="5">
        <f>_xlfn.XLOOKUP(D548,products!$A$1:$A$49,products!$E$1:$E$49,,0)</f>
        <v>27.945</v>
      </c>
      <c r="M548">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_xlfn.XLOOKUP(orders!D549,products!$A$1:$A$49,products!$B$1:$B$49,,0)</f>
        <v>Rob</v>
      </c>
      <c r="J549" t="str">
        <f>_xlfn.XLOOKUP(D549,products!$A$1:$A$49,products!$C$1:$C$49,,0)</f>
        <v>L</v>
      </c>
      <c r="K549" s="13">
        <f>_xlfn.XLOOKUP(D549,products!$A$1:$A$49,products!$D$1:$D$49,,0)</f>
        <v>0.2</v>
      </c>
      <c r="L549" s="5">
        <f>_xlfn.XLOOKUP(D549,products!$A$1:$A$49,products!$E$1:$E$49,,0)</f>
        <v>3.5849999999999995</v>
      </c>
      <c r="M549">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_xlfn.XLOOKUP(orders!D550,products!$A$1:$A$49,products!$B$1:$B$49,,0)</f>
        <v>Exc</v>
      </c>
      <c r="J550" t="str">
        <f>_xlfn.XLOOKUP(D550,products!$A$1:$A$49,products!$C$1:$C$49,,0)</f>
        <v>L</v>
      </c>
      <c r="K550" s="13">
        <f>_xlfn.XLOOKUP(D550,products!$A$1:$A$49,products!$D$1:$D$49,,0)</f>
        <v>0.2</v>
      </c>
      <c r="L550" s="5">
        <f>_xlfn.XLOOKUP(D550,products!$A$1:$A$49,products!$E$1:$E$49,,0)</f>
        <v>4.4550000000000001</v>
      </c>
      <c r="M550">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_xlfn.XLOOKUP(orders!D551,products!$A$1:$A$49,products!$B$1:$B$49,,0)</f>
        <v>Exc</v>
      </c>
      <c r="J551" t="str">
        <f>_xlfn.XLOOKUP(D551,products!$A$1:$A$49,products!$C$1:$C$49,,0)</f>
        <v>L</v>
      </c>
      <c r="K551" s="13">
        <f>_xlfn.XLOOKUP(D551,products!$A$1:$A$49,products!$D$1:$D$49,,0)</f>
        <v>0.2</v>
      </c>
      <c r="L551" s="5">
        <f>_xlfn.XLOOKUP(D551,products!$A$1:$A$49,products!$E$1:$E$49,,0)</f>
        <v>4.4550000000000001</v>
      </c>
      <c r="M551">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_xlfn.XLOOKUP(orders!D552,products!$A$1:$A$49,products!$B$1:$B$49,,0)</f>
        <v>Lib</v>
      </c>
      <c r="J552" t="str">
        <f>_xlfn.XLOOKUP(D552,products!$A$1:$A$49,products!$C$1:$C$49,,0)</f>
        <v>D</v>
      </c>
      <c r="K552" s="13">
        <f>_xlfn.XLOOKUP(D552,products!$A$1:$A$49,products!$D$1:$D$49,,0)</f>
        <v>0.2</v>
      </c>
      <c r="L552" s="5">
        <f>_xlfn.XLOOKUP(D552,products!$A$1:$A$49,products!$E$1:$E$49,,0)</f>
        <v>3.8849999999999998</v>
      </c>
      <c r="M552">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_xlfn.XLOOKUP(orders!D553,products!$A$1:$A$49,products!$B$1:$B$49,,0)</f>
        <v>Exc</v>
      </c>
      <c r="J553" t="str">
        <f>_xlfn.XLOOKUP(D553,products!$A$1:$A$49,products!$C$1:$C$49,,0)</f>
        <v>D</v>
      </c>
      <c r="K553" s="13">
        <f>_xlfn.XLOOKUP(D553,products!$A$1:$A$49,products!$D$1:$D$49,,0)</f>
        <v>0.2</v>
      </c>
      <c r="L553" s="5">
        <f>_xlfn.XLOOKUP(D553,products!$A$1:$A$49,products!$E$1:$E$49,,0)</f>
        <v>3.645</v>
      </c>
      <c r="M553">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_xlfn.XLOOKUP(orders!D554,products!$A$1:$A$49,products!$B$1:$B$49,,0)</f>
        <v>Exc</v>
      </c>
      <c r="J554" t="str">
        <f>_xlfn.XLOOKUP(D554,products!$A$1:$A$49,products!$C$1:$C$49,,0)</f>
        <v>L</v>
      </c>
      <c r="K554" s="13">
        <f>_xlfn.XLOOKUP(D554,products!$A$1:$A$49,products!$D$1:$D$49,,0)</f>
        <v>0.2</v>
      </c>
      <c r="L554" s="5">
        <f>_xlfn.XLOOKUP(D554,products!$A$1:$A$49,products!$E$1:$E$49,,0)</f>
        <v>4.4550000000000001</v>
      </c>
      <c r="M554">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_xlfn.XLOOKUP(orders!D555,products!$A$1:$A$49,products!$B$1:$B$49,,0)</f>
        <v>Exc</v>
      </c>
      <c r="J555" t="str">
        <f>_xlfn.XLOOKUP(D555,products!$A$1:$A$49,products!$C$1:$C$49,,0)</f>
        <v>M</v>
      </c>
      <c r="K555" s="13">
        <f>_xlfn.XLOOKUP(D555,products!$A$1:$A$49,products!$D$1:$D$49,,0)</f>
        <v>1</v>
      </c>
      <c r="L555" s="5">
        <f>_xlfn.XLOOKUP(D555,products!$A$1:$A$49,products!$E$1:$E$49,,0)</f>
        <v>13.75</v>
      </c>
      <c r="M55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_xlfn.XLOOKUP(orders!D556,products!$A$1:$A$49,products!$B$1:$B$49,,0)</f>
        <v>Rob</v>
      </c>
      <c r="J556" t="str">
        <f>_xlfn.XLOOKUP(D556,products!$A$1:$A$49,products!$C$1:$C$49,,0)</f>
        <v>L</v>
      </c>
      <c r="K556" s="13">
        <f>_xlfn.XLOOKUP(D556,products!$A$1:$A$49,products!$D$1:$D$49,,0)</f>
        <v>2.5</v>
      </c>
      <c r="L556" s="5">
        <f>_xlfn.XLOOKUP(D556,products!$A$1:$A$49,products!$E$1:$E$49,,0)</f>
        <v>27.484999999999996</v>
      </c>
      <c r="M556">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_xlfn.XLOOKUP(orders!D557,products!$A$1:$A$49,products!$B$1:$B$49,,0)</f>
        <v>Exc</v>
      </c>
      <c r="J557" t="str">
        <f>_xlfn.XLOOKUP(D557,products!$A$1:$A$49,products!$C$1:$C$49,,0)</f>
        <v>M</v>
      </c>
      <c r="K557" s="13">
        <f>_xlfn.XLOOKUP(D557,products!$A$1:$A$49,products!$D$1:$D$49,,0)</f>
        <v>1</v>
      </c>
      <c r="L557" s="5">
        <f>_xlfn.XLOOKUP(D557,products!$A$1:$A$49,products!$E$1:$E$49,,0)</f>
        <v>13.75</v>
      </c>
      <c r="M557">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_xlfn.XLOOKUP(orders!D558,products!$A$1:$A$49,products!$B$1:$B$49,,0)</f>
        <v>Lib</v>
      </c>
      <c r="J558" t="str">
        <f>_xlfn.XLOOKUP(D558,products!$A$1:$A$49,products!$C$1:$C$49,,0)</f>
        <v>M</v>
      </c>
      <c r="K558" s="13">
        <f>_xlfn.XLOOKUP(D558,products!$A$1:$A$49,products!$D$1:$D$49,,0)</f>
        <v>0.2</v>
      </c>
      <c r="L558" s="5">
        <f>_xlfn.XLOOKUP(D558,products!$A$1:$A$49,products!$E$1:$E$49,,0)</f>
        <v>4.3650000000000002</v>
      </c>
      <c r="M558">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_xlfn.XLOOKUP(orders!D559,products!$A$1:$A$49,products!$B$1:$B$49,,0)</f>
        <v>Exc</v>
      </c>
      <c r="J559" t="str">
        <f>_xlfn.XLOOKUP(D559,products!$A$1:$A$49,products!$C$1:$C$49,,0)</f>
        <v>L</v>
      </c>
      <c r="K559" s="13">
        <f>_xlfn.XLOOKUP(D559,products!$A$1:$A$49,products!$D$1:$D$49,,0)</f>
        <v>1</v>
      </c>
      <c r="L559" s="5">
        <f>_xlfn.XLOOKUP(D559,products!$A$1:$A$49,products!$E$1:$E$49,,0)</f>
        <v>14.85</v>
      </c>
      <c r="M559">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_xlfn.XLOOKUP(orders!D560,products!$A$1:$A$49,products!$B$1:$B$49,,0)</f>
        <v>Lib</v>
      </c>
      <c r="J560" t="str">
        <f>_xlfn.XLOOKUP(D560,products!$A$1:$A$49,products!$C$1:$C$49,,0)</f>
        <v>D</v>
      </c>
      <c r="K560" s="13">
        <f>_xlfn.XLOOKUP(D560,products!$A$1:$A$49,products!$D$1:$D$49,,0)</f>
        <v>0.2</v>
      </c>
      <c r="L560" s="5">
        <f>_xlfn.XLOOKUP(D560,products!$A$1:$A$49,products!$E$1:$E$49,,0)</f>
        <v>3.8849999999999998</v>
      </c>
      <c r="M560">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_xlfn.XLOOKUP(orders!D561,products!$A$1:$A$49,products!$B$1:$B$49,,0)</f>
        <v>Ara</v>
      </c>
      <c r="J561" t="str">
        <f>_xlfn.XLOOKUP(D561,products!$A$1:$A$49,products!$C$1:$C$49,,0)</f>
        <v>L</v>
      </c>
      <c r="K561" s="13">
        <f>_xlfn.XLOOKUP(D561,products!$A$1:$A$49,products!$D$1:$D$49,,0)</f>
        <v>1</v>
      </c>
      <c r="L561" s="5">
        <f>_xlfn.XLOOKUP(D561,products!$A$1:$A$49,products!$E$1:$E$49,,0)</f>
        <v>12.95</v>
      </c>
      <c r="M561">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_xlfn.XLOOKUP(orders!D562,products!$A$1:$A$49,products!$B$1:$B$49,,0)</f>
        <v>Exc</v>
      </c>
      <c r="J562" t="str">
        <f>_xlfn.XLOOKUP(D562,products!$A$1:$A$49,products!$C$1:$C$49,,0)</f>
        <v>M</v>
      </c>
      <c r="K562" s="13">
        <f>_xlfn.XLOOKUP(D562,products!$A$1:$A$49,products!$D$1:$D$49,,0)</f>
        <v>2.5</v>
      </c>
      <c r="L562" s="5">
        <f>_xlfn.XLOOKUP(D562,products!$A$1:$A$49,products!$E$1:$E$49,,0)</f>
        <v>31.624999999999996</v>
      </c>
      <c r="M562">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_xlfn.XLOOKUP(orders!D563,products!$A$1:$A$49,products!$B$1:$B$49,,0)</f>
        <v>Ara</v>
      </c>
      <c r="J563" t="str">
        <f>_xlfn.XLOOKUP(D563,products!$A$1:$A$49,products!$C$1:$C$49,,0)</f>
        <v>D</v>
      </c>
      <c r="K563" s="13">
        <f>_xlfn.XLOOKUP(D563,products!$A$1:$A$49,products!$D$1:$D$49,,0)</f>
        <v>0.2</v>
      </c>
      <c r="L563" s="5">
        <f>_xlfn.XLOOKUP(D563,products!$A$1:$A$49,products!$E$1:$E$49,,0)</f>
        <v>2.9849999999999999</v>
      </c>
      <c r="M563">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_xlfn.XLOOKUP(orders!D564,products!$A$1:$A$49,products!$B$1:$B$49,,0)</f>
        <v>Lib</v>
      </c>
      <c r="J564" t="str">
        <f>_xlfn.XLOOKUP(D564,products!$A$1:$A$49,products!$C$1:$C$49,,0)</f>
        <v>L</v>
      </c>
      <c r="K564" s="13">
        <f>_xlfn.XLOOKUP(D564,products!$A$1:$A$49,products!$D$1:$D$49,,0)</f>
        <v>0.2</v>
      </c>
      <c r="L564" s="5">
        <f>_xlfn.XLOOKUP(D564,products!$A$1:$A$49,products!$E$1:$E$49,,0)</f>
        <v>4.7549999999999999</v>
      </c>
      <c r="M564">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_xlfn.XLOOKUP(orders!D565,products!$A$1:$A$49,products!$B$1:$B$49,,0)</f>
        <v>Exc</v>
      </c>
      <c r="J565" t="str">
        <f>_xlfn.XLOOKUP(D565,products!$A$1:$A$49,products!$C$1:$C$49,,0)</f>
        <v>M</v>
      </c>
      <c r="K565" s="13">
        <f>_xlfn.XLOOKUP(D565,products!$A$1:$A$49,products!$D$1:$D$49,,0)</f>
        <v>1</v>
      </c>
      <c r="L565" s="5">
        <f>_xlfn.XLOOKUP(D565,products!$A$1:$A$49,products!$E$1:$E$49,,0)</f>
        <v>13.75</v>
      </c>
      <c r="M56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_xlfn.XLOOKUP(orders!D566,products!$A$1:$A$49,products!$B$1:$B$49,,0)</f>
        <v>Rob</v>
      </c>
      <c r="J566" t="str">
        <f>_xlfn.XLOOKUP(D566,products!$A$1:$A$49,products!$C$1:$C$49,,0)</f>
        <v>L</v>
      </c>
      <c r="K566" s="13">
        <f>_xlfn.XLOOKUP(D566,products!$A$1:$A$49,products!$D$1:$D$49,,0)</f>
        <v>0.5</v>
      </c>
      <c r="L566" s="5">
        <f>_xlfn.XLOOKUP(D566,products!$A$1:$A$49,products!$E$1:$E$49,,0)</f>
        <v>7.169999999999999</v>
      </c>
      <c r="M566">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_xlfn.XLOOKUP(orders!D567,products!$A$1:$A$49,products!$B$1:$B$49,,0)</f>
        <v>Rob</v>
      </c>
      <c r="J567" t="str">
        <f>_xlfn.XLOOKUP(D567,products!$A$1:$A$49,products!$C$1:$C$49,,0)</f>
        <v>D</v>
      </c>
      <c r="K567" s="13">
        <f>_xlfn.XLOOKUP(D567,products!$A$1:$A$49,products!$D$1:$D$49,,0)</f>
        <v>2.5</v>
      </c>
      <c r="L567" s="5">
        <f>_xlfn.XLOOKUP(D567,products!$A$1:$A$49,products!$E$1:$E$49,,0)</f>
        <v>20.584999999999997</v>
      </c>
      <c r="M567">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_xlfn.XLOOKUP(orders!D568,products!$A$1:$A$49,products!$B$1:$B$49,,0)</f>
        <v>Ara</v>
      </c>
      <c r="J568" t="str">
        <f>_xlfn.XLOOKUP(D568,products!$A$1:$A$49,products!$C$1:$C$49,,0)</f>
        <v>M</v>
      </c>
      <c r="K568" s="13">
        <f>_xlfn.XLOOKUP(D568,products!$A$1:$A$49,products!$D$1:$D$49,,0)</f>
        <v>0.2</v>
      </c>
      <c r="L568" s="5">
        <f>_xlfn.XLOOKUP(D568,products!$A$1:$A$49,products!$E$1:$E$49,,0)</f>
        <v>3.375</v>
      </c>
      <c r="M568">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_xlfn.XLOOKUP(orders!D569,products!$A$1:$A$49,products!$B$1:$B$49,,0)</f>
        <v>Rob</v>
      </c>
      <c r="J569" t="str">
        <f>_xlfn.XLOOKUP(D569,products!$A$1:$A$49,products!$C$1:$C$49,,0)</f>
        <v>L</v>
      </c>
      <c r="K569" s="13">
        <f>_xlfn.XLOOKUP(D569,products!$A$1:$A$49,products!$D$1:$D$49,,0)</f>
        <v>2.5</v>
      </c>
      <c r="L569" s="5">
        <f>_xlfn.XLOOKUP(D569,products!$A$1:$A$49,products!$E$1:$E$49,,0)</f>
        <v>27.484999999999996</v>
      </c>
      <c r="M569">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_xlfn.XLOOKUP(orders!D570,products!$A$1:$A$49,products!$B$1:$B$49,,0)</f>
        <v>Lib</v>
      </c>
      <c r="J570" t="str">
        <f>_xlfn.XLOOKUP(D570,products!$A$1:$A$49,products!$C$1:$C$49,,0)</f>
        <v>L</v>
      </c>
      <c r="K570" s="13">
        <f>_xlfn.XLOOKUP(D570,products!$A$1:$A$49,products!$D$1:$D$49,,0)</f>
        <v>0.2</v>
      </c>
      <c r="L570" s="5">
        <f>_xlfn.XLOOKUP(D570,products!$A$1:$A$49,products!$E$1:$E$49,,0)</f>
        <v>4.7549999999999999</v>
      </c>
      <c r="M570">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_xlfn.XLOOKUP(orders!D571,products!$A$1:$A$49,products!$B$1:$B$49,,0)</f>
        <v>Ara</v>
      </c>
      <c r="J571" t="str">
        <f>_xlfn.XLOOKUP(D571,products!$A$1:$A$49,products!$C$1:$C$49,,0)</f>
        <v>D</v>
      </c>
      <c r="K571" s="13">
        <f>_xlfn.XLOOKUP(D571,products!$A$1:$A$49,products!$D$1:$D$49,,0)</f>
        <v>2.5</v>
      </c>
      <c r="L571" s="5">
        <f>_xlfn.XLOOKUP(D571,products!$A$1:$A$49,products!$E$1:$E$49,,0)</f>
        <v>22.884999999999998</v>
      </c>
      <c r="M571">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_xlfn.XLOOKUP(orders!D572,products!$A$1:$A$49,products!$B$1:$B$49,,0)</f>
        <v>Ara</v>
      </c>
      <c r="J572" t="str">
        <f>_xlfn.XLOOKUP(D572,products!$A$1:$A$49,products!$C$1:$C$49,,0)</f>
        <v>M</v>
      </c>
      <c r="K572" s="13">
        <f>_xlfn.XLOOKUP(D572,products!$A$1:$A$49,products!$D$1:$D$49,,0)</f>
        <v>0.5</v>
      </c>
      <c r="L572" s="5">
        <f>_xlfn.XLOOKUP(D572,products!$A$1:$A$49,products!$E$1:$E$49,,0)</f>
        <v>6.75</v>
      </c>
      <c r="M572">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_xlfn.XLOOKUP(orders!D573,products!$A$1:$A$49,products!$B$1:$B$49,,0)</f>
        <v>Exc</v>
      </c>
      <c r="J573" t="str">
        <f>_xlfn.XLOOKUP(D573,products!$A$1:$A$49,products!$C$1:$C$49,,0)</f>
        <v>L</v>
      </c>
      <c r="K573" s="13">
        <f>_xlfn.XLOOKUP(D573,products!$A$1:$A$49,products!$D$1:$D$49,,0)</f>
        <v>0.5</v>
      </c>
      <c r="L573" s="5">
        <f>_xlfn.XLOOKUP(D573,products!$A$1:$A$49,products!$E$1:$E$49,,0)</f>
        <v>8.91</v>
      </c>
      <c r="M573">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_xlfn.XLOOKUP(orders!D574,products!$A$1:$A$49,products!$B$1:$B$49,,0)</f>
        <v>Ara</v>
      </c>
      <c r="J574" t="str">
        <f>_xlfn.XLOOKUP(D574,products!$A$1:$A$49,products!$C$1:$C$49,,0)</f>
        <v>D</v>
      </c>
      <c r="K574" s="13">
        <f>_xlfn.XLOOKUP(D574,products!$A$1:$A$49,products!$D$1:$D$49,,0)</f>
        <v>0.2</v>
      </c>
      <c r="L574" s="5">
        <f>_xlfn.XLOOKUP(D574,products!$A$1:$A$49,products!$E$1:$E$49,,0)</f>
        <v>2.9849999999999999</v>
      </c>
      <c r="M574">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_xlfn.XLOOKUP(orders!D575,products!$A$1:$A$49,products!$B$1:$B$49,,0)</f>
        <v>Ara</v>
      </c>
      <c r="J575" t="str">
        <f>_xlfn.XLOOKUP(D575,products!$A$1:$A$49,products!$C$1:$C$49,,0)</f>
        <v>M</v>
      </c>
      <c r="K575" s="13">
        <f>_xlfn.XLOOKUP(D575,products!$A$1:$A$49,products!$D$1:$D$49,,0)</f>
        <v>1</v>
      </c>
      <c r="L575" s="5">
        <f>_xlfn.XLOOKUP(D575,products!$A$1:$A$49,products!$E$1:$E$49,,0)</f>
        <v>11.25</v>
      </c>
      <c r="M57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_xlfn.XLOOKUP(orders!D576,products!$A$1:$A$49,products!$B$1:$B$49,,0)</f>
        <v>Rob</v>
      </c>
      <c r="J576" t="str">
        <f>_xlfn.XLOOKUP(D576,products!$A$1:$A$49,products!$C$1:$C$49,,0)</f>
        <v>L</v>
      </c>
      <c r="K576" s="13">
        <f>_xlfn.XLOOKUP(D576,products!$A$1:$A$49,products!$D$1:$D$49,,0)</f>
        <v>0.2</v>
      </c>
      <c r="L576" s="5">
        <f>_xlfn.XLOOKUP(D576,products!$A$1:$A$49,products!$E$1:$E$49,,0)</f>
        <v>3.5849999999999995</v>
      </c>
      <c r="M576">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_xlfn.XLOOKUP(orders!D577,products!$A$1:$A$49,products!$B$1:$B$49,,0)</f>
        <v>Lib</v>
      </c>
      <c r="J577" t="str">
        <f>_xlfn.XLOOKUP(D577,products!$A$1:$A$49,products!$C$1:$C$49,,0)</f>
        <v>M</v>
      </c>
      <c r="K577" s="13">
        <f>_xlfn.XLOOKUP(D577,products!$A$1:$A$49,products!$D$1:$D$49,,0)</f>
        <v>2.5</v>
      </c>
      <c r="L577" s="5">
        <f>_xlfn.XLOOKUP(D577,products!$A$1:$A$49,products!$E$1:$E$49,,0)</f>
        <v>33.464999999999996</v>
      </c>
      <c r="M577">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_xlfn.XLOOKUP(orders!D578,products!$A$1:$A$49,products!$B$1:$B$49,,0)</f>
        <v>Ara</v>
      </c>
      <c r="J578" t="str">
        <f>_xlfn.XLOOKUP(D578,products!$A$1:$A$49,products!$C$1:$C$49,,0)</f>
        <v>D</v>
      </c>
      <c r="K578" s="13">
        <f>_xlfn.XLOOKUP(D578,products!$A$1:$A$49,products!$D$1:$D$49,,0)</f>
        <v>0.2</v>
      </c>
      <c r="L578" s="5">
        <f>_xlfn.XLOOKUP(D578,products!$A$1:$A$49,products!$E$1:$E$49,,0)</f>
        <v>2.9849999999999999</v>
      </c>
      <c r="M578">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_xlfn.XLOOKUP(orders!D579,products!$A$1:$A$49,products!$B$1:$B$49,,0)</f>
        <v>Lib</v>
      </c>
      <c r="J579" t="str">
        <f>_xlfn.XLOOKUP(D579,products!$A$1:$A$49,products!$C$1:$C$49,,0)</f>
        <v>M</v>
      </c>
      <c r="K579" s="13">
        <f>_xlfn.XLOOKUP(D579,products!$A$1:$A$49,products!$D$1:$D$49,,0)</f>
        <v>1</v>
      </c>
      <c r="L579" s="5">
        <f>_xlfn.XLOOKUP(D579,products!$A$1:$A$49,products!$E$1:$E$49,,0)</f>
        <v>14.55</v>
      </c>
      <c r="M579">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_xlfn.XLOOKUP(orders!D580,products!$A$1:$A$49,products!$B$1:$B$49,,0)</f>
        <v>Exc</v>
      </c>
      <c r="J580" t="str">
        <f>_xlfn.XLOOKUP(D580,products!$A$1:$A$49,products!$C$1:$C$49,,0)</f>
        <v>L</v>
      </c>
      <c r="K580" s="13">
        <f>_xlfn.XLOOKUP(D580,products!$A$1:$A$49,products!$D$1:$D$49,,0)</f>
        <v>0.2</v>
      </c>
      <c r="L580" s="5">
        <f>_xlfn.XLOOKUP(D580,products!$A$1:$A$49,products!$E$1:$E$49,,0)</f>
        <v>4.4550000000000001</v>
      </c>
      <c r="M580">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_xlfn.XLOOKUP(orders!D581,products!$A$1:$A$49,products!$B$1:$B$49,,0)</f>
        <v>Ara</v>
      </c>
      <c r="J581" t="str">
        <f>_xlfn.XLOOKUP(D581,products!$A$1:$A$49,products!$C$1:$C$49,,0)</f>
        <v>M</v>
      </c>
      <c r="K581" s="13">
        <f>_xlfn.XLOOKUP(D581,products!$A$1:$A$49,products!$D$1:$D$49,,0)</f>
        <v>0.5</v>
      </c>
      <c r="L581" s="5">
        <f>_xlfn.XLOOKUP(D581,products!$A$1:$A$49,products!$E$1:$E$49,,0)</f>
        <v>6.75</v>
      </c>
      <c r="M581">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_xlfn.XLOOKUP(orders!D582,products!$A$1:$A$49,products!$B$1:$B$49,,0)</f>
        <v>Exc</v>
      </c>
      <c r="J582" t="str">
        <f>_xlfn.XLOOKUP(D582,products!$A$1:$A$49,products!$C$1:$C$49,,0)</f>
        <v>L</v>
      </c>
      <c r="K582" s="13">
        <f>_xlfn.XLOOKUP(D582,products!$A$1:$A$49,products!$D$1:$D$49,,0)</f>
        <v>1</v>
      </c>
      <c r="L582" s="5">
        <f>_xlfn.XLOOKUP(D582,products!$A$1:$A$49,products!$E$1:$E$49,,0)</f>
        <v>14.85</v>
      </c>
      <c r="M582">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_xlfn.XLOOKUP(orders!D583,products!$A$1:$A$49,products!$B$1:$B$49,,0)</f>
        <v>Exc</v>
      </c>
      <c r="J583" t="str">
        <f>_xlfn.XLOOKUP(D583,products!$A$1:$A$49,products!$C$1:$C$49,,0)</f>
        <v>L</v>
      </c>
      <c r="K583" s="13">
        <f>_xlfn.XLOOKUP(D583,products!$A$1:$A$49,products!$D$1:$D$49,,0)</f>
        <v>0.5</v>
      </c>
      <c r="L583" s="5">
        <f>_xlfn.XLOOKUP(D583,products!$A$1:$A$49,products!$E$1:$E$49,,0)</f>
        <v>8.91</v>
      </c>
      <c r="M583">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_xlfn.XLOOKUP(orders!D584,products!$A$1:$A$49,products!$B$1:$B$49,,0)</f>
        <v>Exc</v>
      </c>
      <c r="J584" t="str">
        <f>_xlfn.XLOOKUP(D584,products!$A$1:$A$49,products!$C$1:$C$49,,0)</f>
        <v>D</v>
      </c>
      <c r="K584" s="13">
        <f>_xlfn.XLOOKUP(D584,products!$A$1:$A$49,products!$D$1:$D$49,,0)</f>
        <v>1</v>
      </c>
      <c r="L584" s="5">
        <f>_xlfn.XLOOKUP(D584,products!$A$1:$A$49,products!$E$1:$E$49,,0)</f>
        <v>12.15</v>
      </c>
      <c r="M584">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_xlfn.XLOOKUP(orders!D585,products!$A$1:$A$49,products!$B$1:$B$49,,0)</f>
        <v>Rob</v>
      </c>
      <c r="J585" t="str">
        <f>_xlfn.XLOOKUP(D585,products!$A$1:$A$49,products!$C$1:$C$49,,0)</f>
        <v>L</v>
      </c>
      <c r="K585" s="13">
        <f>_xlfn.XLOOKUP(D585,products!$A$1:$A$49,products!$D$1:$D$49,,0)</f>
        <v>0.2</v>
      </c>
      <c r="L585" s="5">
        <f>_xlfn.XLOOKUP(D585,products!$A$1:$A$49,products!$E$1:$E$49,,0)</f>
        <v>3.5849999999999995</v>
      </c>
      <c r="M58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_xlfn.XLOOKUP(orders!D586,products!$A$1:$A$49,products!$B$1:$B$49,,0)</f>
        <v>Rob</v>
      </c>
      <c r="J586" t="str">
        <f>_xlfn.XLOOKUP(D586,products!$A$1:$A$49,products!$C$1:$C$49,,0)</f>
        <v>L</v>
      </c>
      <c r="K586" s="13">
        <f>_xlfn.XLOOKUP(D586,products!$A$1:$A$49,products!$D$1:$D$49,,0)</f>
        <v>0.2</v>
      </c>
      <c r="L586" s="5">
        <f>_xlfn.XLOOKUP(D586,products!$A$1:$A$49,products!$E$1:$E$49,,0)</f>
        <v>3.5849999999999995</v>
      </c>
      <c r="M586">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_xlfn.XLOOKUP(orders!D587,products!$A$1:$A$49,products!$B$1:$B$49,,0)</f>
        <v>Exc</v>
      </c>
      <c r="J587" t="str">
        <f>_xlfn.XLOOKUP(D587,products!$A$1:$A$49,products!$C$1:$C$49,,0)</f>
        <v>M</v>
      </c>
      <c r="K587" s="13">
        <f>_xlfn.XLOOKUP(D587,products!$A$1:$A$49,products!$D$1:$D$49,,0)</f>
        <v>0.5</v>
      </c>
      <c r="L587" s="5">
        <f>_xlfn.XLOOKUP(D587,products!$A$1:$A$49,products!$E$1:$E$49,,0)</f>
        <v>8.25</v>
      </c>
      <c r="M587">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_xlfn.XLOOKUP(orders!D588,products!$A$1:$A$49,products!$B$1:$B$49,,0)</f>
        <v>Rob</v>
      </c>
      <c r="J588" t="str">
        <f>_xlfn.XLOOKUP(D588,products!$A$1:$A$49,products!$C$1:$C$49,,0)</f>
        <v>L</v>
      </c>
      <c r="K588" s="13">
        <f>_xlfn.XLOOKUP(D588,products!$A$1:$A$49,products!$D$1:$D$49,,0)</f>
        <v>2.5</v>
      </c>
      <c r="L588" s="5">
        <f>_xlfn.XLOOKUP(D588,products!$A$1:$A$49,products!$E$1:$E$49,,0)</f>
        <v>27.484999999999996</v>
      </c>
      <c r="M588">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_xlfn.XLOOKUP(orders!D589,products!$A$1:$A$49,products!$B$1:$B$49,,0)</f>
        <v>Lib</v>
      </c>
      <c r="J589" t="str">
        <f>_xlfn.XLOOKUP(D589,products!$A$1:$A$49,products!$C$1:$C$49,,0)</f>
        <v>D</v>
      </c>
      <c r="K589" s="13">
        <f>_xlfn.XLOOKUP(D589,products!$A$1:$A$49,products!$D$1:$D$49,,0)</f>
        <v>0.5</v>
      </c>
      <c r="L589" s="5">
        <f>_xlfn.XLOOKUP(D589,products!$A$1:$A$49,products!$E$1:$E$49,,0)</f>
        <v>7.77</v>
      </c>
      <c r="M589">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_xlfn.XLOOKUP(orders!D590,products!$A$1:$A$49,products!$B$1:$B$49,,0)</f>
        <v>Rob</v>
      </c>
      <c r="J590" t="str">
        <f>_xlfn.XLOOKUP(D590,products!$A$1:$A$49,products!$C$1:$C$49,,0)</f>
        <v>M</v>
      </c>
      <c r="K590" s="13">
        <f>_xlfn.XLOOKUP(D590,products!$A$1:$A$49,products!$D$1:$D$49,,0)</f>
        <v>0.5</v>
      </c>
      <c r="L590" s="5">
        <f>_xlfn.XLOOKUP(D590,products!$A$1:$A$49,products!$E$1:$E$49,,0)</f>
        <v>5.97</v>
      </c>
      <c r="M590">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_xlfn.XLOOKUP(orders!D591,products!$A$1:$A$49,products!$B$1:$B$49,,0)</f>
        <v>Exc</v>
      </c>
      <c r="J591" t="str">
        <f>_xlfn.XLOOKUP(D591,products!$A$1:$A$49,products!$C$1:$C$49,,0)</f>
        <v>L</v>
      </c>
      <c r="K591" s="13">
        <f>_xlfn.XLOOKUP(D591,products!$A$1:$A$49,products!$D$1:$D$49,,0)</f>
        <v>2.5</v>
      </c>
      <c r="L591" s="5">
        <f>_xlfn.XLOOKUP(D591,products!$A$1:$A$49,products!$E$1:$E$49,,0)</f>
        <v>34.154999999999994</v>
      </c>
      <c r="M591">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_xlfn.XLOOKUP(orders!D592,products!$A$1:$A$49,products!$B$1:$B$49,,0)</f>
        <v>Exc</v>
      </c>
      <c r="J592" t="str">
        <f>_xlfn.XLOOKUP(D592,products!$A$1:$A$49,products!$C$1:$C$49,,0)</f>
        <v>M</v>
      </c>
      <c r="K592" s="13">
        <f>_xlfn.XLOOKUP(D592,products!$A$1:$A$49,products!$D$1:$D$49,,0)</f>
        <v>2.5</v>
      </c>
      <c r="L592" s="5">
        <f>_xlfn.XLOOKUP(D592,products!$A$1:$A$49,products!$E$1:$E$49,,0)</f>
        <v>31.624999999999996</v>
      </c>
      <c r="M592">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_xlfn.XLOOKUP(orders!D593,products!$A$1:$A$49,products!$B$1:$B$49,,0)</f>
        <v>Rob</v>
      </c>
      <c r="J593" t="str">
        <f>_xlfn.XLOOKUP(D593,products!$A$1:$A$49,products!$C$1:$C$49,,0)</f>
        <v>D</v>
      </c>
      <c r="K593" s="13">
        <f>_xlfn.XLOOKUP(D593,products!$A$1:$A$49,products!$D$1:$D$49,,0)</f>
        <v>0.2</v>
      </c>
      <c r="L593" s="5">
        <f>_xlfn.XLOOKUP(D593,products!$A$1:$A$49,products!$E$1:$E$49,,0)</f>
        <v>2.6849999999999996</v>
      </c>
      <c r="M593">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_xlfn.XLOOKUP(orders!D594,products!$A$1:$A$49,products!$B$1:$B$49,,0)</f>
        <v>Ara</v>
      </c>
      <c r="J594" t="str">
        <f>_xlfn.XLOOKUP(D594,products!$A$1:$A$49,products!$C$1:$C$49,,0)</f>
        <v>M</v>
      </c>
      <c r="K594" s="13">
        <f>_xlfn.XLOOKUP(D594,products!$A$1:$A$49,products!$D$1:$D$49,,0)</f>
        <v>2.5</v>
      </c>
      <c r="L594" s="5">
        <f>_xlfn.XLOOKUP(D594,products!$A$1:$A$49,products!$E$1:$E$49,,0)</f>
        <v>25.874999999999996</v>
      </c>
      <c r="M594">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_xlfn.XLOOKUP(orders!D595,products!$A$1:$A$49,products!$B$1:$B$49,,0)</f>
        <v>Exc</v>
      </c>
      <c r="J595" t="str">
        <f>_xlfn.XLOOKUP(D595,products!$A$1:$A$49,products!$C$1:$C$49,,0)</f>
        <v>D</v>
      </c>
      <c r="K595" s="13">
        <f>_xlfn.XLOOKUP(D595,products!$A$1:$A$49,products!$D$1:$D$49,,0)</f>
        <v>2.5</v>
      </c>
      <c r="L595" s="5">
        <f>_xlfn.XLOOKUP(D595,products!$A$1:$A$49,products!$E$1:$E$49,,0)</f>
        <v>27.945</v>
      </c>
      <c r="M59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_xlfn.XLOOKUP(orders!D596,products!$A$1:$A$49,products!$B$1:$B$49,,0)</f>
        <v>Ara</v>
      </c>
      <c r="J596" t="str">
        <f>_xlfn.XLOOKUP(D596,products!$A$1:$A$49,products!$C$1:$C$49,,0)</f>
        <v>L</v>
      </c>
      <c r="K596" s="13">
        <f>_xlfn.XLOOKUP(D596,products!$A$1:$A$49,products!$D$1:$D$49,,0)</f>
        <v>2.5</v>
      </c>
      <c r="L596" s="5">
        <f>_xlfn.XLOOKUP(D596,products!$A$1:$A$49,products!$E$1:$E$49,,0)</f>
        <v>29.784999999999997</v>
      </c>
      <c r="M596">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_xlfn.XLOOKUP(orders!D597,products!$A$1:$A$49,products!$B$1:$B$49,,0)</f>
        <v>Exc</v>
      </c>
      <c r="J597" t="str">
        <f>_xlfn.XLOOKUP(D597,products!$A$1:$A$49,products!$C$1:$C$49,,0)</f>
        <v>L</v>
      </c>
      <c r="K597" s="13">
        <f>_xlfn.XLOOKUP(D597,products!$A$1:$A$49,products!$D$1:$D$49,,0)</f>
        <v>1</v>
      </c>
      <c r="L597" s="5">
        <f>_xlfn.XLOOKUP(D597,products!$A$1:$A$49,products!$E$1:$E$49,,0)</f>
        <v>14.85</v>
      </c>
      <c r="M597">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_xlfn.XLOOKUP(orders!D598,products!$A$1:$A$49,products!$B$1:$B$49,,0)</f>
        <v>Ara</v>
      </c>
      <c r="J598" t="str">
        <f>_xlfn.XLOOKUP(D598,products!$A$1:$A$49,products!$C$1:$C$49,,0)</f>
        <v>M</v>
      </c>
      <c r="K598" s="13">
        <f>_xlfn.XLOOKUP(D598,products!$A$1:$A$49,products!$D$1:$D$49,,0)</f>
        <v>0.5</v>
      </c>
      <c r="L598" s="5">
        <f>_xlfn.XLOOKUP(D598,products!$A$1:$A$49,products!$E$1:$E$49,,0)</f>
        <v>6.75</v>
      </c>
      <c r="M598">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_xlfn.XLOOKUP(orders!D599,products!$A$1:$A$49,products!$B$1:$B$49,,0)</f>
        <v>Lib</v>
      </c>
      <c r="J599" t="str">
        <f>_xlfn.XLOOKUP(D599,products!$A$1:$A$49,products!$C$1:$C$49,,0)</f>
        <v>L</v>
      </c>
      <c r="K599" s="13">
        <f>_xlfn.XLOOKUP(D599,products!$A$1:$A$49,products!$D$1:$D$49,,0)</f>
        <v>2.5</v>
      </c>
      <c r="L599" s="5">
        <f>_xlfn.XLOOKUP(D599,products!$A$1:$A$49,products!$E$1:$E$49,,0)</f>
        <v>36.454999999999998</v>
      </c>
      <c r="M599">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_xlfn.XLOOKUP(orders!D600,products!$A$1:$A$49,products!$B$1:$B$49,,0)</f>
        <v>Rob</v>
      </c>
      <c r="J600" t="str">
        <f>_xlfn.XLOOKUP(D600,products!$A$1:$A$49,products!$C$1:$C$49,,0)</f>
        <v>M</v>
      </c>
      <c r="K600" s="13">
        <f>_xlfn.XLOOKUP(D600,products!$A$1:$A$49,products!$D$1:$D$49,,0)</f>
        <v>0.2</v>
      </c>
      <c r="L600" s="5">
        <f>_xlfn.XLOOKUP(D600,products!$A$1:$A$49,products!$E$1:$E$49,,0)</f>
        <v>2.9849999999999999</v>
      </c>
      <c r="M600">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_xlfn.XLOOKUP(orders!D601,products!$A$1:$A$49,products!$B$1:$B$49,,0)</f>
        <v>Ara</v>
      </c>
      <c r="J601" t="str">
        <f>_xlfn.XLOOKUP(D601,products!$A$1:$A$49,products!$C$1:$C$49,,0)</f>
        <v>D</v>
      </c>
      <c r="K601" s="13">
        <f>_xlfn.XLOOKUP(D601,products!$A$1:$A$49,products!$D$1:$D$49,,0)</f>
        <v>0.2</v>
      </c>
      <c r="L601" s="5">
        <f>_xlfn.XLOOKUP(D601,products!$A$1:$A$49,products!$E$1:$E$49,,0)</f>
        <v>2.9849999999999999</v>
      </c>
      <c r="M601">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_xlfn.XLOOKUP(orders!D602,products!$A$1:$A$49,products!$B$1:$B$49,,0)</f>
        <v>Lib</v>
      </c>
      <c r="J602" t="str">
        <f>_xlfn.XLOOKUP(D602,products!$A$1:$A$49,products!$C$1:$C$49,,0)</f>
        <v>D</v>
      </c>
      <c r="K602" s="13">
        <f>_xlfn.XLOOKUP(D602,products!$A$1:$A$49,products!$D$1:$D$49,,0)</f>
        <v>0.5</v>
      </c>
      <c r="L602" s="5">
        <f>_xlfn.XLOOKUP(D602,products!$A$1:$A$49,products!$E$1:$E$49,,0)</f>
        <v>7.77</v>
      </c>
      <c r="M602">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_xlfn.XLOOKUP(orders!D603,products!$A$1:$A$49,products!$B$1:$B$49,,0)</f>
        <v>Rob</v>
      </c>
      <c r="J603" t="str">
        <f>_xlfn.XLOOKUP(D603,products!$A$1:$A$49,products!$C$1:$C$49,,0)</f>
        <v>L</v>
      </c>
      <c r="K603" s="13">
        <f>_xlfn.XLOOKUP(D603,products!$A$1:$A$49,products!$D$1:$D$49,,0)</f>
        <v>2.5</v>
      </c>
      <c r="L603" s="5">
        <f>_xlfn.XLOOKUP(D603,products!$A$1:$A$49,products!$E$1:$E$49,,0)</f>
        <v>27.484999999999996</v>
      </c>
      <c r="M603">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_xlfn.XLOOKUP(orders!D604,products!$A$1:$A$49,products!$B$1:$B$49,,0)</f>
        <v>Exc</v>
      </c>
      <c r="J604" t="str">
        <f>_xlfn.XLOOKUP(D604,products!$A$1:$A$49,products!$C$1:$C$49,,0)</f>
        <v>L</v>
      </c>
      <c r="K604" s="13">
        <f>_xlfn.XLOOKUP(D604,products!$A$1:$A$49,products!$D$1:$D$49,,0)</f>
        <v>0.2</v>
      </c>
      <c r="L604" s="5">
        <f>_xlfn.XLOOKUP(D604,products!$A$1:$A$49,products!$E$1:$E$49,,0)</f>
        <v>4.4550000000000001</v>
      </c>
      <c r="M604">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_xlfn.XLOOKUP(orders!D605,products!$A$1:$A$49,products!$B$1:$B$49,,0)</f>
        <v>Rob</v>
      </c>
      <c r="J605" t="str">
        <f>_xlfn.XLOOKUP(D605,products!$A$1:$A$49,products!$C$1:$C$49,,0)</f>
        <v>M</v>
      </c>
      <c r="K605" s="13">
        <f>_xlfn.XLOOKUP(D605,products!$A$1:$A$49,products!$D$1:$D$49,,0)</f>
        <v>0.2</v>
      </c>
      <c r="L605" s="5">
        <f>_xlfn.XLOOKUP(D605,products!$A$1:$A$49,products!$E$1:$E$49,,0)</f>
        <v>2.9849999999999999</v>
      </c>
      <c r="M60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_xlfn.XLOOKUP(orders!D606,products!$A$1:$A$49,products!$B$1:$B$49,,0)</f>
        <v>Lib</v>
      </c>
      <c r="J606" t="str">
        <f>_xlfn.XLOOKUP(D606,products!$A$1:$A$49,products!$C$1:$C$49,,0)</f>
        <v>D</v>
      </c>
      <c r="K606" s="13">
        <f>_xlfn.XLOOKUP(D606,products!$A$1:$A$49,products!$D$1:$D$49,,0)</f>
        <v>2.5</v>
      </c>
      <c r="L606" s="5">
        <f>_xlfn.XLOOKUP(D606,products!$A$1:$A$49,products!$E$1:$E$49,,0)</f>
        <v>29.784999999999997</v>
      </c>
      <c r="M606">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_xlfn.XLOOKUP(orders!D607,products!$A$1:$A$49,products!$B$1:$B$49,,0)</f>
        <v>Ara</v>
      </c>
      <c r="J607" t="str">
        <f>_xlfn.XLOOKUP(D607,products!$A$1:$A$49,products!$C$1:$C$49,,0)</f>
        <v>L</v>
      </c>
      <c r="K607" s="13">
        <f>_xlfn.XLOOKUP(D607,products!$A$1:$A$49,products!$D$1:$D$49,,0)</f>
        <v>2.5</v>
      </c>
      <c r="L607" s="5">
        <f>_xlfn.XLOOKUP(D607,products!$A$1:$A$49,products!$E$1:$E$49,,0)</f>
        <v>29.784999999999997</v>
      </c>
      <c r="M607">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_xlfn.XLOOKUP(orders!D608,products!$A$1:$A$49,products!$B$1:$B$49,,0)</f>
        <v>Lib</v>
      </c>
      <c r="J608" t="str">
        <f>_xlfn.XLOOKUP(D608,products!$A$1:$A$49,products!$C$1:$C$49,,0)</f>
        <v>L</v>
      </c>
      <c r="K608" s="13">
        <f>_xlfn.XLOOKUP(D608,products!$A$1:$A$49,products!$D$1:$D$49,,0)</f>
        <v>2.5</v>
      </c>
      <c r="L608" s="5">
        <f>_xlfn.XLOOKUP(D608,products!$A$1:$A$49,products!$E$1:$E$49,,0)</f>
        <v>36.454999999999998</v>
      </c>
      <c r="M608">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_xlfn.XLOOKUP(orders!D609,products!$A$1:$A$49,products!$B$1:$B$49,,0)</f>
        <v>Exc</v>
      </c>
      <c r="J609" t="str">
        <f>_xlfn.XLOOKUP(D609,products!$A$1:$A$49,products!$C$1:$C$49,,0)</f>
        <v>D</v>
      </c>
      <c r="K609" s="13">
        <f>_xlfn.XLOOKUP(D609,products!$A$1:$A$49,products!$D$1:$D$49,,0)</f>
        <v>0.2</v>
      </c>
      <c r="L609" s="5">
        <f>_xlfn.XLOOKUP(D609,products!$A$1:$A$49,products!$E$1:$E$49,,0)</f>
        <v>3.645</v>
      </c>
      <c r="M609">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_xlfn.XLOOKUP(orders!D610,products!$A$1:$A$49,products!$B$1:$B$49,,0)</f>
        <v>Exc</v>
      </c>
      <c r="J610" t="str">
        <f>_xlfn.XLOOKUP(D610,products!$A$1:$A$49,products!$C$1:$C$49,,0)</f>
        <v>D</v>
      </c>
      <c r="K610" s="13">
        <f>_xlfn.XLOOKUP(D610,products!$A$1:$A$49,products!$D$1:$D$49,,0)</f>
        <v>2.5</v>
      </c>
      <c r="L610" s="5">
        <f>_xlfn.XLOOKUP(D610,products!$A$1:$A$49,products!$E$1:$E$49,,0)</f>
        <v>27.945</v>
      </c>
      <c r="M610">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_xlfn.XLOOKUP(orders!D611,products!$A$1:$A$49,products!$B$1:$B$49,,0)</f>
        <v>Lib</v>
      </c>
      <c r="J611" t="str">
        <f>_xlfn.XLOOKUP(D611,products!$A$1:$A$49,products!$C$1:$C$49,,0)</f>
        <v>M</v>
      </c>
      <c r="K611" s="13">
        <f>_xlfn.XLOOKUP(D611,products!$A$1:$A$49,products!$D$1:$D$49,,0)</f>
        <v>0.2</v>
      </c>
      <c r="L611" s="5">
        <f>_xlfn.XLOOKUP(D611,products!$A$1:$A$49,products!$E$1:$E$49,,0)</f>
        <v>4.3650000000000002</v>
      </c>
      <c r="M611">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_xlfn.XLOOKUP(orders!D612,products!$A$1:$A$49,products!$B$1:$B$49,,0)</f>
        <v>Rob</v>
      </c>
      <c r="J612" t="str">
        <f>_xlfn.XLOOKUP(D612,products!$A$1:$A$49,products!$C$1:$C$49,,0)</f>
        <v>M</v>
      </c>
      <c r="K612" s="13">
        <f>_xlfn.XLOOKUP(D612,products!$A$1:$A$49,products!$D$1:$D$49,,0)</f>
        <v>1</v>
      </c>
      <c r="L612" s="5">
        <f>_xlfn.XLOOKUP(D612,products!$A$1:$A$49,products!$E$1:$E$49,,0)</f>
        <v>9.9499999999999993</v>
      </c>
      <c r="M612">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_xlfn.XLOOKUP(orders!D613,products!$A$1:$A$49,products!$B$1:$B$49,,0)</f>
        <v>Exc</v>
      </c>
      <c r="J613" t="str">
        <f>_xlfn.XLOOKUP(D613,products!$A$1:$A$49,products!$C$1:$C$49,,0)</f>
        <v>L</v>
      </c>
      <c r="K613" s="13">
        <f>_xlfn.XLOOKUP(D613,products!$A$1:$A$49,products!$D$1:$D$49,,0)</f>
        <v>2.5</v>
      </c>
      <c r="L613" s="5">
        <f>_xlfn.XLOOKUP(D613,products!$A$1:$A$49,products!$E$1:$E$49,,0)</f>
        <v>34.154999999999994</v>
      </c>
      <c r="M613">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_xlfn.XLOOKUP(orders!D614,products!$A$1:$A$49,products!$B$1:$B$49,,0)</f>
        <v>Ara</v>
      </c>
      <c r="J614" t="str">
        <f>_xlfn.XLOOKUP(D614,products!$A$1:$A$49,products!$C$1:$C$49,,0)</f>
        <v>M</v>
      </c>
      <c r="K614" s="13">
        <f>_xlfn.XLOOKUP(D614,products!$A$1:$A$49,products!$D$1:$D$49,,0)</f>
        <v>0.2</v>
      </c>
      <c r="L614" s="5">
        <f>_xlfn.XLOOKUP(D614,products!$A$1:$A$49,products!$E$1:$E$49,,0)</f>
        <v>3.375</v>
      </c>
      <c r="M614">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_xlfn.XLOOKUP(orders!D615,products!$A$1:$A$49,products!$B$1:$B$49,,0)</f>
        <v>Rob</v>
      </c>
      <c r="J615" t="str">
        <f>_xlfn.XLOOKUP(D615,products!$A$1:$A$49,products!$C$1:$C$49,,0)</f>
        <v>M</v>
      </c>
      <c r="K615" s="13">
        <f>_xlfn.XLOOKUP(D615,products!$A$1:$A$49,products!$D$1:$D$49,,0)</f>
        <v>0.5</v>
      </c>
      <c r="L615" s="5">
        <f>_xlfn.XLOOKUP(D615,products!$A$1:$A$49,products!$E$1:$E$49,,0)</f>
        <v>5.97</v>
      </c>
      <c r="M61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_xlfn.XLOOKUP(orders!D616,products!$A$1:$A$49,products!$B$1:$B$49,,0)</f>
        <v>Rob</v>
      </c>
      <c r="J616" t="str">
        <f>_xlfn.XLOOKUP(D616,products!$A$1:$A$49,products!$C$1:$C$49,,0)</f>
        <v>M</v>
      </c>
      <c r="K616" s="13">
        <f>_xlfn.XLOOKUP(D616,products!$A$1:$A$49,products!$D$1:$D$49,,0)</f>
        <v>0.5</v>
      </c>
      <c r="L616" s="5">
        <f>_xlfn.XLOOKUP(D616,products!$A$1:$A$49,products!$E$1:$E$49,,0)</f>
        <v>5.97</v>
      </c>
      <c r="M616">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_xlfn.XLOOKUP(orders!D617,products!$A$1:$A$49,products!$B$1:$B$49,,0)</f>
        <v>Lib</v>
      </c>
      <c r="J617" t="str">
        <f>_xlfn.XLOOKUP(D617,products!$A$1:$A$49,products!$C$1:$C$49,,0)</f>
        <v>L</v>
      </c>
      <c r="K617" s="13">
        <f>_xlfn.XLOOKUP(D617,products!$A$1:$A$49,products!$D$1:$D$49,,0)</f>
        <v>2.5</v>
      </c>
      <c r="L617" s="5">
        <f>_xlfn.XLOOKUP(D617,products!$A$1:$A$49,products!$E$1:$E$49,,0)</f>
        <v>36.454999999999998</v>
      </c>
      <c r="M617">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_xlfn.XLOOKUP(orders!D618,products!$A$1:$A$49,products!$B$1:$B$49,,0)</f>
        <v>Exc</v>
      </c>
      <c r="J618" t="str">
        <f>_xlfn.XLOOKUP(D618,products!$A$1:$A$49,products!$C$1:$C$49,,0)</f>
        <v>M</v>
      </c>
      <c r="K618" s="13">
        <f>_xlfn.XLOOKUP(D618,products!$A$1:$A$49,products!$D$1:$D$49,,0)</f>
        <v>2.5</v>
      </c>
      <c r="L618" s="5">
        <f>_xlfn.XLOOKUP(D618,products!$A$1:$A$49,products!$E$1:$E$49,,0)</f>
        <v>31.624999999999996</v>
      </c>
      <c r="M618">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_xlfn.XLOOKUP(orders!D619,products!$A$1:$A$49,products!$B$1:$B$49,,0)</f>
        <v>Lib</v>
      </c>
      <c r="J619" t="str">
        <f>_xlfn.XLOOKUP(D619,products!$A$1:$A$49,products!$C$1:$C$49,,0)</f>
        <v>M</v>
      </c>
      <c r="K619" s="13">
        <f>_xlfn.XLOOKUP(D619,products!$A$1:$A$49,products!$D$1:$D$49,,0)</f>
        <v>2.5</v>
      </c>
      <c r="L619" s="5">
        <f>_xlfn.XLOOKUP(D619,products!$A$1:$A$49,products!$E$1:$E$49,,0)</f>
        <v>33.464999999999996</v>
      </c>
      <c r="M619">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_xlfn.XLOOKUP(orders!D620,products!$A$1:$A$49,products!$B$1:$B$49,,0)</f>
        <v>Exc</v>
      </c>
      <c r="J620" t="str">
        <f>_xlfn.XLOOKUP(D620,products!$A$1:$A$49,products!$C$1:$C$49,,0)</f>
        <v>D</v>
      </c>
      <c r="K620" s="13">
        <f>_xlfn.XLOOKUP(D620,products!$A$1:$A$49,products!$D$1:$D$49,,0)</f>
        <v>1</v>
      </c>
      <c r="L620" s="5">
        <f>_xlfn.XLOOKUP(D620,products!$A$1:$A$49,products!$E$1:$E$49,,0)</f>
        <v>12.15</v>
      </c>
      <c r="M620">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_xlfn.XLOOKUP(orders!D621,products!$A$1:$A$49,products!$B$1:$B$49,,0)</f>
        <v>Lib</v>
      </c>
      <c r="J621" t="str">
        <f>_xlfn.XLOOKUP(D621,products!$A$1:$A$49,products!$C$1:$C$49,,0)</f>
        <v>D</v>
      </c>
      <c r="K621" s="13">
        <f>_xlfn.XLOOKUP(D621,products!$A$1:$A$49,products!$D$1:$D$49,,0)</f>
        <v>0.5</v>
      </c>
      <c r="L621" s="5">
        <f>_xlfn.XLOOKUP(D621,products!$A$1:$A$49,products!$E$1:$E$49,,0)</f>
        <v>7.77</v>
      </c>
      <c r="M621">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_xlfn.XLOOKUP(orders!D622,products!$A$1:$A$49,products!$B$1:$B$49,,0)</f>
        <v>Ara</v>
      </c>
      <c r="J622" t="str">
        <f>_xlfn.XLOOKUP(D622,products!$A$1:$A$49,products!$C$1:$C$49,,0)</f>
        <v>M</v>
      </c>
      <c r="K622" s="13">
        <f>_xlfn.XLOOKUP(D622,products!$A$1:$A$49,products!$D$1:$D$49,,0)</f>
        <v>0.2</v>
      </c>
      <c r="L622" s="5">
        <f>_xlfn.XLOOKUP(D622,products!$A$1:$A$49,products!$E$1:$E$49,,0)</f>
        <v>3.375</v>
      </c>
      <c r="M622">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_xlfn.XLOOKUP(orders!D623,products!$A$1:$A$49,products!$B$1:$B$49,,0)</f>
        <v>Ara</v>
      </c>
      <c r="J623" t="str">
        <f>_xlfn.XLOOKUP(D623,products!$A$1:$A$49,products!$C$1:$C$49,,0)</f>
        <v>L</v>
      </c>
      <c r="K623" s="13">
        <f>_xlfn.XLOOKUP(D623,products!$A$1:$A$49,products!$D$1:$D$49,,0)</f>
        <v>1</v>
      </c>
      <c r="L623" s="5">
        <f>_xlfn.XLOOKUP(D623,products!$A$1:$A$49,products!$E$1:$E$49,,0)</f>
        <v>12.95</v>
      </c>
      <c r="M623">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_xlfn.XLOOKUP(orders!D624,products!$A$1:$A$49,products!$B$1:$B$49,,0)</f>
        <v>Lib</v>
      </c>
      <c r="J624" t="str">
        <f>_xlfn.XLOOKUP(D624,products!$A$1:$A$49,products!$C$1:$C$49,,0)</f>
        <v>M</v>
      </c>
      <c r="K624" s="13">
        <f>_xlfn.XLOOKUP(D624,products!$A$1:$A$49,products!$D$1:$D$49,,0)</f>
        <v>2.5</v>
      </c>
      <c r="L624" s="5">
        <f>_xlfn.XLOOKUP(D624,products!$A$1:$A$49,products!$E$1:$E$49,,0)</f>
        <v>33.464999999999996</v>
      </c>
      <c r="M624">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_xlfn.XLOOKUP(orders!D625,products!$A$1:$A$49,products!$B$1:$B$49,,0)</f>
        <v>Exc</v>
      </c>
      <c r="J625" t="str">
        <f>_xlfn.XLOOKUP(D625,products!$A$1:$A$49,products!$C$1:$C$49,,0)</f>
        <v>D</v>
      </c>
      <c r="K625" s="13">
        <f>_xlfn.XLOOKUP(D625,products!$A$1:$A$49,products!$D$1:$D$49,,0)</f>
        <v>1</v>
      </c>
      <c r="L625" s="5">
        <f>_xlfn.XLOOKUP(D625,products!$A$1:$A$49,products!$E$1:$E$49,,0)</f>
        <v>12.15</v>
      </c>
      <c r="M62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_xlfn.XLOOKUP(orders!D626,products!$A$1:$A$49,products!$B$1:$B$49,,0)</f>
        <v>Exc</v>
      </c>
      <c r="J626" t="str">
        <f>_xlfn.XLOOKUP(D626,products!$A$1:$A$49,products!$C$1:$C$49,,0)</f>
        <v>M</v>
      </c>
      <c r="K626" s="13">
        <f>_xlfn.XLOOKUP(D626,products!$A$1:$A$49,products!$D$1:$D$49,,0)</f>
        <v>2.5</v>
      </c>
      <c r="L626" s="5">
        <f>_xlfn.XLOOKUP(D626,products!$A$1:$A$49,products!$E$1:$E$49,,0)</f>
        <v>31.624999999999996</v>
      </c>
      <c r="M626">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_xlfn.XLOOKUP(orders!D627,products!$A$1:$A$49,products!$B$1:$B$49,,0)</f>
        <v>Rob</v>
      </c>
      <c r="J627" t="str">
        <f>_xlfn.XLOOKUP(D627,products!$A$1:$A$49,products!$C$1:$C$49,,0)</f>
        <v>L</v>
      </c>
      <c r="K627" s="13">
        <f>_xlfn.XLOOKUP(D627,products!$A$1:$A$49,products!$D$1:$D$49,,0)</f>
        <v>0.5</v>
      </c>
      <c r="L627" s="5">
        <f>_xlfn.XLOOKUP(D627,products!$A$1:$A$49,products!$E$1:$E$49,,0)</f>
        <v>7.169999999999999</v>
      </c>
      <c r="M627">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_xlfn.XLOOKUP(orders!D628,products!$A$1:$A$49,products!$B$1:$B$49,,0)</f>
        <v>Ara</v>
      </c>
      <c r="J628" t="str">
        <f>_xlfn.XLOOKUP(D628,products!$A$1:$A$49,products!$C$1:$C$49,,0)</f>
        <v>M</v>
      </c>
      <c r="K628" s="13">
        <f>_xlfn.XLOOKUP(D628,products!$A$1:$A$49,products!$D$1:$D$49,,0)</f>
        <v>2.5</v>
      </c>
      <c r="L628" s="5">
        <f>_xlfn.XLOOKUP(D628,products!$A$1:$A$49,products!$E$1:$E$49,,0)</f>
        <v>25.874999999999996</v>
      </c>
      <c r="M628">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_xlfn.XLOOKUP(orders!D629,products!$A$1:$A$49,products!$B$1:$B$49,,0)</f>
        <v>Exc</v>
      </c>
      <c r="J629" t="str">
        <f>_xlfn.XLOOKUP(D629,products!$A$1:$A$49,products!$C$1:$C$49,,0)</f>
        <v>M</v>
      </c>
      <c r="K629" s="13">
        <f>_xlfn.XLOOKUP(D629,products!$A$1:$A$49,products!$D$1:$D$49,,0)</f>
        <v>2.5</v>
      </c>
      <c r="L629" s="5">
        <f>_xlfn.XLOOKUP(D629,products!$A$1:$A$49,products!$E$1:$E$49,,0)</f>
        <v>31.624999999999996</v>
      </c>
      <c r="M629">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_xlfn.XLOOKUP(orders!D630,products!$A$1:$A$49,products!$B$1:$B$49,,0)</f>
        <v>Exc</v>
      </c>
      <c r="J630" t="str">
        <f>_xlfn.XLOOKUP(D630,products!$A$1:$A$49,products!$C$1:$C$49,,0)</f>
        <v>L</v>
      </c>
      <c r="K630" s="13">
        <f>_xlfn.XLOOKUP(D630,products!$A$1:$A$49,products!$D$1:$D$49,,0)</f>
        <v>0.2</v>
      </c>
      <c r="L630" s="5">
        <f>_xlfn.XLOOKUP(D630,products!$A$1:$A$49,products!$E$1:$E$49,,0)</f>
        <v>4.4550000000000001</v>
      </c>
      <c r="M630">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_xlfn.XLOOKUP(orders!D631,products!$A$1:$A$49,products!$B$1:$B$49,,0)</f>
        <v>Lib</v>
      </c>
      <c r="J631" t="str">
        <f>_xlfn.XLOOKUP(D631,products!$A$1:$A$49,products!$C$1:$C$49,,0)</f>
        <v>D</v>
      </c>
      <c r="K631" s="13">
        <f>_xlfn.XLOOKUP(D631,products!$A$1:$A$49,products!$D$1:$D$49,,0)</f>
        <v>0.5</v>
      </c>
      <c r="L631" s="5">
        <f>_xlfn.XLOOKUP(D631,products!$A$1:$A$49,products!$E$1:$E$49,,0)</f>
        <v>7.77</v>
      </c>
      <c r="M631">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_xlfn.XLOOKUP(orders!D632,products!$A$1:$A$49,products!$B$1:$B$49,,0)</f>
        <v>Ara</v>
      </c>
      <c r="J632" t="str">
        <f>_xlfn.XLOOKUP(D632,products!$A$1:$A$49,products!$C$1:$C$49,,0)</f>
        <v>D</v>
      </c>
      <c r="K632" s="13">
        <f>_xlfn.XLOOKUP(D632,products!$A$1:$A$49,products!$D$1:$D$49,,0)</f>
        <v>0.2</v>
      </c>
      <c r="L632" s="5">
        <f>_xlfn.XLOOKUP(D632,products!$A$1:$A$49,products!$E$1:$E$49,,0)</f>
        <v>2.9849999999999999</v>
      </c>
      <c r="M632">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_xlfn.XLOOKUP(orders!D633,products!$A$1:$A$49,products!$B$1:$B$49,,0)</f>
        <v>Rob</v>
      </c>
      <c r="J633" t="str">
        <f>_xlfn.XLOOKUP(D633,products!$A$1:$A$49,products!$C$1:$C$49,,0)</f>
        <v>D</v>
      </c>
      <c r="K633" s="13">
        <f>_xlfn.XLOOKUP(D633,products!$A$1:$A$49,products!$D$1:$D$49,,0)</f>
        <v>2.5</v>
      </c>
      <c r="L633" s="5">
        <f>_xlfn.XLOOKUP(D633,products!$A$1:$A$49,products!$E$1:$E$49,,0)</f>
        <v>20.584999999999997</v>
      </c>
      <c r="M633">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_xlfn.XLOOKUP(orders!D634,products!$A$1:$A$49,products!$B$1:$B$49,,0)</f>
        <v>Exc</v>
      </c>
      <c r="J634" t="str">
        <f>_xlfn.XLOOKUP(D634,products!$A$1:$A$49,products!$C$1:$C$49,,0)</f>
        <v>L</v>
      </c>
      <c r="K634" s="13">
        <f>_xlfn.XLOOKUP(D634,products!$A$1:$A$49,products!$D$1:$D$49,,0)</f>
        <v>0.5</v>
      </c>
      <c r="L634" s="5">
        <f>_xlfn.XLOOKUP(D634,products!$A$1:$A$49,products!$E$1:$E$49,,0)</f>
        <v>8.91</v>
      </c>
      <c r="M634">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_xlfn.XLOOKUP(orders!D635,products!$A$1:$A$49,products!$B$1:$B$49,,0)</f>
        <v>Rob</v>
      </c>
      <c r="J635" t="str">
        <f>_xlfn.XLOOKUP(D635,products!$A$1:$A$49,products!$C$1:$C$49,,0)</f>
        <v>L</v>
      </c>
      <c r="K635" s="13">
        <f>_xlfn.XLOOKUP(D635,products!$A$1:$A$49,products!$D$1:$D$49,,0)</f>
        <v>1</v>
      </c>
      <c r="L635" s="5">
        <f>_xlfn.XLOOKUP(D635,products!$A$1:$A$49,products!$E$1:$E$49,,0)</f>
        <v>11.95</v>
      </c>
      <c r="M63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_xlfn.XLOOKUP(orders!D636,products!$A$1:$A$49,products!$B$1:$B$49,,0)</f>
        <v>Lib</v>
      </c>
      <c r="J636" t="str">
        <f>_xlfn.XLOOKUP(D636,products!$A$1:$A$49,products!$C$1:$C$49,,0)</f>
        <v>M</v>
      </c>
      <c r="K636" s="13">
        <f>_xlfn.XLOOKUP(D636,products!$A$1:$A$49,products!$D$1:$D$49,,0)</f>
        <v>1</v>
      </c>
      <c r="L636" s="5">
        <f>_xlfn.XLOOKUP(D636,products!$A$1:$A$49,products!$E$1:$E$49,,0)</f>
        <v>14.55</v>
      </c>
      <c r="M636">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_xlfn.XLOOKUP(orders!D637,products!$A$1:$A$49,products!$B$1:$B$49,,0)</f>
        <v>Exc</v>
      </c>
      <c r="J637" t="str">
        <f>_xlfn.XLOOKUP(D637,products!$A$1:$A$49,products!$C$1:$C$49,,0)</f>
        <v>L</v>
      </c>
      <c r="K637" s="13">
        <f>_xlfn.XLOOKUP(D637,products!$A$1:$A$49,products!$D$1:$D$49,,0)</f>
        <v>0.5</v>
      </c>
      <c r="L637" s="5">
        <f>_xlfn.XLOOKUP(D637,products!$A$1:$A$49,products!$E$1:$E$49,,0)</f>
        <v>8.91</v>
      </c>
      <c r="M637">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_xlfn.XLOOKUP(orders!D638,products!$A$1:$A$49,products!$B$1:$B$49,,0)</f>
        <v>Lib</v>
      </c>
      <c r="J638" t="str">
        <f>_xlfn.XLOOKUP(D638,products!$A$1:$A$49,products!$C$1:$C$49,,0)</f>
        <v>L</v>
      </c>
      <c r="K638" s="13">
        <f>_xlfn.XLOOKUP(D638,products!$A$1:$A$49,products!$D$1:$D$49,,0)</f>
        <v>1</v>
      </c>
      <c r="L638" s="5">
        <f>_xlfn.XLOOKUP(D638,products!$A$1:$A$49,products!$E$1:$E$49,,0)</f>
        <v>15.85</v>
      </c>
      <c r="M638">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_xlfn.XLOOKUP(orders!D639,products!$A$1:$A$49,products!$B$1:$B$49,,0)</f>
        <v>Exc</v>
      </c>
      <c r="J639" t="str">
        <f>_xlfn.XLOOKUP(D639,products!$A$1:$A$49,products!$C$1:$C$49,,0)</f>
        <v>M</v>
      </c>
      <c r="K639" s="13">
        <f>_xlfn.XLOOKUP(D639,products!$A$1:$A$49,products!$D$1:$D$49,,0)</f>
        <v>2.5</v>
      </c>
      <c r="L639" s="5">
        <f>_xlfn.XLOOKUP(D639,products!$A$1:$A$49,products!$E$1:$E$49,,0)</f>
        <v>31.624999999999996</v>
      </c>
      <c r="M639">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_xlfn.XLOOKUP(orders!D640,products!$A$1:$A$49,products!$B$1:$B$49,,0)</f>
        <v>Ara</v>
      </c>
      <c r="J640" t="str">
        <f>_xlfn.XLOOKUP(D640,products!$A$1:$A$49,products!$C$1:$C$49,,0)</f>
        <v>M</v>
      </c>
      <c r="K640" s="13">
        <f>_xlfn.XLOOKUP(D640,products!$A$1:$A$49,products!$D$1:$D$49,,0)</f>
        <v>2.5</v>
      </c>
      <c r="L640" s="5">
        <f>_xlfn.XLOOKUP(D640,products!$A$1:$A$49,products!$E$1:$E$49,,0)</f>
        <v>25.874999999999996</v>
      </c>
      <c r="M640">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_xlfn.XLOOKUP(orders!D641,products!$A$1:$A$49,products!$B$1:$B$49,,0)</f>
        <v>Lib</v>
      </c>
      <c r="J641" t="str">
        <f>_xlfn.XLOOKUP(D641,products!$A$1:$A$49,products!$C$1:$C$49,,0)</f>
        <v>D</v>
      </c>
      <c r="K641" s="13">
        <f>_xlfn.XLOOKUP(D641,products!$A$1:$A$49,products!$D$1:$D$49,,0)</f>
        <v>0.2</v>
      </c>
      <c r="L641" s="5">
        <f>_xlfn.XLOOKUP(D641,products!$A$1:$A$49,products!$E$1:$E$49,,0)</f>
        <v>3.8849999999999998</v>
      </c>
      <c r="M641">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_xlfn.XLOOKUP(orders!D642,products!$A$1:$A$49,products!$B$1:$B$49,,0)</f>
        <v>Rob</v>
      </c>
      <c r="J642" t="str">
        <f>_xlfn.XLOOKUP(D642,products!$A$1:$A$49,products!$C$1:$C$49,,0)</f>
        <v>L</v>
      </c>
      <c r="K642" s="13">
        <f>_xlfn.XLOOKUP(D642,products!$A$1:$A$49,products!$D$1:$D$49,,0)</f>
        <v>2.5</v>
      </c>
      <c r="L642" s="5">
        <f>_xlfn.XLOOKUP(D642,products!$A$1:$A$49,products!$E$1:$E$49,,0)</f>
        <v>27.484999999999996</v>
      </c>
      <c r="M642">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_xlfn.XLOOKUP(orders!D643,products!$A$1:$A$49,products!$B$1:$B$49,,0)</f>
        <v>Rob</v>
      </c>
      <c r="J643" t="str">
        <f>_xlfn.XLOOKUP(D643,products!$A$1:$A$49,products!$C$1:$C$49,,0)</f>
        <v>L</v>
      </c>
      <c r="K643" s="13">
        <f>_xlfn.XLOOKUP(D643,products!$A$1:$A$49,products!$D$1:$D$49,,0)</f>
        <v>1</v>
      </c>
      <c r="L643" s="5">
        <f>_xlfn.XLOOKUP(D643,products!$A$1:$A$49,products!$E$1:$E$49,,0)</f>
        <v>11.95</v>
      </c>
      <c r="M643">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_xlfn.XLOOKUP(orders!D644,products!$A$1:$A$49,products!$B$1:$B$49,,0)</f>
        <v>Exc</v>
      </c>
      <c r="J644" t="str">
        <f>_xlfn.XLOOKUP(D644,products!$A$1:$A$49,products!$C$1:$C$49,,0)</f>
        <v>M</v>
      </c>
      <c r="K644" s="13">
        <f>_xlfn.XLOOKUP(D644,products!$A$1:$A$49,products!$D$1:$D$49,,0)</f>
        <v>0.2</v>
      </c>
      <c r="L644" s="5">
        <f>_xlfn.XLOOKUP(D644,products!$A$1:$A$49,products!$E$1:$E$49,,0)</f>
        <v>4.125</v>
      </c>
      <c r="M644">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_xlfn.XLOOKUP(orders!D645,products!$A$1:$A$49,products!$B$1:$B$49,,0)</f>
        <v>Exc</v>
      </c>
      <c r="J645" t="str">
        <f>_xlfn.XLOOKUP(D645,products!$A$1:$A$49,products!$C$1:$C$49,,0)</f>
        <v>L</v>
      </c>
      <c r="K645" s="13">
        <f>_xlfn.XLOOKUP(D645,products!$A$1:$A$49,products!$D$1:$D$49,,0)</f>
        <v>2.5</v>
      </c>
      <c r="L645" s="5">
        <f>_xlfn.XLOOKUP(D645,products!$A$1:$A$49,products!$E$1:$E$49,,0)</f>
        <v>34.154999999999994</v>
      </c>
      <c r="M64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_xlfn.XLOOKUP(orders!D646,products!$A$1:$A$49,products!$B$1:$B$49,,0)</f>
        <v>Rob</v>
      </c>
      <c r="J646" t="str">
        <f>_xlfn.XLOOKUP(D646,products!$A$1:$A$49,products!$C$1:$C$49,,0)</f>
        <v>D</v>
      </c>
      <c r="K646" s="13">
        <f>_xlfn.XLOOKUP(D646,products!$A$1:$A$49,products!$D$1:$D$49,,0)</f>
        <v>2.5</v>
      </c>
      <c r="L646" s="5">
        <f>_xlfn.XLOOKUP(D646,products!$A$1:$A$49,products!$E$1:$E$49,,0)</f>
        <v>20.584999999999997</v>
      </c>
      <c r="M646">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_xlfn.XLOOKUP(orders!D647,products!$A$1:$A$49,products!$B$1:$B$49,,0)</f>
        <v>Ara</v>
      </c>
      <c r="J647" t="str">
        <f>_xlfn.XLOOKUP(D647,products!$A$1:$A$49,products!$C$1:$C$49,,0)</f>
        <v>D</v>
      </c>
      <c r="K647" s="13">
        <f>_xlfn.XLOOKUP(D647,products!$A$1:$A$49,products!$D$1:$D$49,,0)</f>
        <v>2.5</v>
      </c>
      <c r="L647" s="5">
        <f>_xlfn.XLOOKUP(D647,products!$A$1:$A$49,products!$E$1:$E$49,,0)</f>
        <v>22.884999999999998</v>
      </c>
      <c r="M647">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_xlfn.XLOOKUP(orders!D648,products!$A$1:$A$49,products!$B$1:$B$49,,0)</f>
        <v>Ara</v>
      </c>
      <c r="J648" t="str">
        <f>_xlfn.XLOOKUP(D648,products!$A$1:$A$49,products!$C$1:$C$49,,0)</f>
        <v>D</v>
      </c>
      <c r="K648" s="13">
        <f>_xlfn.XLOOKUP(D648,products!$A$1:$A$49,products!$D$1:$D$49,,0)</f>
        <v>1</v>
      </c>
      <c r="L648" s="5">
        <f>_xlfn.XLOOKUP(D648,products!$A$1:$A$49,products!$E$1:$E$49,,0)</f>
        <v>9.9499999999999993</v>
      </c>
      <c r="M648">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_xlfn.XLOOKUP(orders!D649,products!$A$1:$A$49,products!$B$1:$B$49,,0)</f>
        <v>Lib</v>
      </c>
      <c r="J649" t="str">
        <f>_xlfn.XLOOKUP(D649,products!$A$1:$A$49,products!$C$1:$C$49,,0)</f>
        <v>L</v>
      </c>
      <c r="K649" s="13">
        <f>_xlfn.XLOOKUP(D649,products!$A$1:$A$49,products!$D$1:$D$49,,0)</f>
        <v>0.5</v>
      </c>
      <c r="L649" s="5">
        <f>_xlfn.XLOOKUP(D649,products!$A$1:$A$49,products!$E$1:$E$49,,0)</f>
        <v>9.51</v>
      </c>
      <c r="M649">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_xlfn.XLOOKUP(orders!D650,products!$A$1:$A$49,products!$B$1:$B$49,,0)</f>
        <v>Rob</v>
      </c>
      <c r="J650" t="str">
        <f>_xlfn.XLOOKUP(D650,products!$A$1:$A$49,products!$C$1:$C$49,,0)</f>
        <v>D</v>
      </c>
      <c r="K650" s="13">
        <f>_xlfn.XLOOKUP(D650,products!$A$1:$A$49,products!$D$1:$D$49,,0)</f>
        <v>0.2</v>
      </c>
      <c r="L650" s="5">
        <f>_xlfn.XLOOKUP(D650,products!$A$1:$A$49,products!$E$1:$E$49,,0)</f>
        <v>2.6849999999999996</v>
      </c>
      <c r="M650">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_xlfn.XLOOKUP(orders!D651,products!$A$1:$A$49,products!$B$1:$B$49,,0)</f>
        <v>Lib</v>
      </c>
      <c r="J651" t="str">
        <f>_xlfn.XLOOKUP(D651,products!$A$1:$A$49,products!$C$1:$C$49,,0)</f>
        <v>L</v>
      </c>
      <c r="K651" s="13">
        <f>_xlfn.XLOOKUP(D651,products!$A$1:$A$49,products!$D$1:$D$49,,0)</f>
        <v>1</v>
      </c>
      <c r="L651" s="5">
        <f>_xlfn.XLOOKUP(D651,products!$A$1:$A$49,products!$E$1:$E$49,,0)</f>
        <v>15.85</v>
      </c>
      <c r="M651">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_xlfn.XLOOKUP(orders!D652,products!$A$1:$A$49,products!$B$1:$B$49,,0)</f>
        <v>Rob</v>
      </c>
      <c r="J652" t="str">
        <f>_xlfn.XLOOKUP(D652,products!$A$1:$A$49,products!$C$1:$C$49,,0)</f>
        <v>D</v>
      </c>
      <c r="K652" s="13">
        <f>_xlfn.XLOOKUP(D652,products!$A$1:$A$49,products!$D$1:$D$49,,0)</f>
        <v>0.5</v>
      </c>
      <c r="L652" s="5">
        <f>_xlfn.XLOOKUP(D652,products!$A$1:$A$49,products!$E$1:$E$49,,0)</f>
        <v>5.3699999999999992</v>
      </c>
      <c r="M652">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_xlfn.XLOOKUP(orders!D653,products!$A$1:$A$49,products!$B$1:$B$49,,0)</f>
        <v>Rob</v>
      </c>
      <c r="J653" t="str">
        <f>_xlfn.XLOOKUP(D653,products!$A$1:$A$49,products!$C$1:$C$49,,0)</f>
        <v>L</v>
      </c>
      <c r="K653" s="13">
        <f>_xlfn.XLOOKUP(D653,products!$A$1:$A$49,products!$D$1:$D$49,,0)</f>
        <v>1</v>
      </c>
      <c r="L653" s="5">
        <f>_xlfn.XLOOKUP(D653,products!$A$1:$A$49,products!$E$1:$E$49,,0)</f>
        <v>11.95</v>
      </c>
      <c r="M653">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_xlfn.XLOOKUP(orders!D654,products!$A$1:$A$49,products!$B$1:$B$49,,0)</f>
        <v>Lib</v>
      </c>
      <c r="J654" t="str">
        <f>_xlfn.XLOOKUP(D654,products!$A$1:$A$49,products!$C$1:$C$49,,0)</f>
        <v>L</v>
      </c>
      <c r="K654" s="13">
        <f>_xlfn.XLOOKUP(D654,products!$A$1:$A$49,products!$D$1:$D$49,,0)</f>
        <v>1</v>
      </c>
      <c r="L654" s="5">
        <f>_xlfn.XLOOKUP(D654,products!$A$1:$A$49,products!$E$1:$E$49,,0)</f>
        <v>15.85</v>
      </c>
      <c r="M654">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_xlfn.XLOOKUP(orders!D655,products!$A$1:$A$49,products!$B$1:$B$49,,0)</f>
        <v>Ara</v>
      </c>
      <c r="J655" t="str">
        <f>_xlfn.XLOOKUP(D655,products!$A$1:$A$49,products!$C$1:$C$49,,0)</f>
        <v>M</v>
      </c>
      <c r="K655" s="13">
        <f>_xlfn.XLOOKUP(D655,products!$A$1:$A$49,products!$D$1:$D$49,,0)</f>
        <v>2.5</v>
      </c>
      <c r="L655" s="5">
        <f>_xlfn.XLOOKUP(D655,products!$A$1:$A$49,products!$E$1:$E$49,,0)</f>
        <v>25.874999999999996</v>
      </c>
      <c r="M65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_xlfn.XLOOKUP(orders!D656,products!$A$1:$A$49,products!$B$1:$B$49,,0)</f>
        <v>Ara</v>
      </c>
      <c r="J656" t="str">
        <f>_xlfn.XLOOKUP(D656,products!$A$1:$A$49,products!$C$1:$C$49,,0)</f>
        <v>D</v>
      </c>
      <c r="K656" s="13">
        <f>_xlfn.XLOOKUP(D656,products!$A$1:$A$49,products!$D$1:$D$49,,0)</f>
        <v>2.5</v>
      </c>
      <c r="L656" s="5">
        <f>_xlfn.XLOOKUP(D656,products!$A$1:$A$49,products!$E$1:$E$49,,0)</f>
        <v>22.884999999999998</v>
      </c>
      <c r="M656">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_xlfn.XLOOKUP(orders!D657,products!$A$1:$A$49,products!$B$1:$B$49,,0)</f>
        <v>Rob</v>
      </c>
      <c r="J657" t="str">
        <f>_xlfn.XLOOKUP(D657,products!$A$1:$A$49,products!$C$1:$C$49,,0)</f>
        <v>M</v>
      </c>
      <c r="K657" s="13">
        <f>_xlfn.XLOOKUP(D657,products!$A$1:$A$49,products!$D$1:$D$49,,0)</f>
        <v>2.5</v>
      </c>
      <c r="L657" s="5">
        <f>_xlfn.XLOOKUP(D657,products!$A$1:$A$49,products!$E$1:$E$49,,0)</f>
        <v>22.884999999999998</v>
      </c>
      <c r="M657">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_xlfn.XLOOKUP(orders!D658,products!$A$1:$A$49,products!$B$1:$B$49,,0)</f>
        <v>Lib</v>
      </c>
      <c r="J658" t="str">
        <f>_xlfn.XLOOKUP(D658,products!$A$1:$A$49,products!$C$1:$C$49,,0)</f>
        <v>D</v>
      </c>
      <c r="K658" s="13">
        <f>_xlfn.XLOOKUP(D658,products!$A$1:$A$49,products!$D$1:$D$49,,0)</f>
        <v>1</v>
      </c>
      <c r="L658" s="5">
        <f>_xlfn.XLOOKUP(D658,products!$A$1:$A$49,products!$E$1:$E$49,,0)</f>
        <v>12.95</v>
      </c>
      <c r="M658">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_xlfn.XLOOKUP(orders!D659,products!$A$1:$A$49,products!$B$1:$B$49,,0)</f>
        <v>Ara</v>
      </c>
      <c r="J659" t="str">
        <f>_xlfn.XLOOKUP(D659,products!$A$1:$A$49,products!$C$1:$C$49,,0)</f>
        <v>M</v>
      </c>
      <c r="K659" s="13">
        <f>_xlfn.XLOOKUP(D659,products!$A$1:$A$49,products!$D$1:$D$49,,0)</f>
        <v>0.5</v>
      </c>
      <c r="L659" s="5">
        <f>_xlfn.XLOOKUP(D659,products!$A$1:$A$49,products!$E$1:$E$49,,0)</f>
        <v>6.75</v>
      </c>
      <c r="M659">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_xlfn.XLOOKUP(orders!D660,products!$A$1:$A$49,products!$B$1:$B$49,,0)</f>
        <v>Exc</v>
      </c>
      <c r="J660" t="str">
        <f>_xlfn.XLOOKUP(D660,products!$A$1:$A$49,products!$C$1:$C$49,,0)</f>
        <v>M</v>
      </c>
      <c r="K660" s="13">
        <f>_xlfn.XLOOKUP(D660,products!$A$1:$A$49,products!$D$1:$D$49,,0)</f>
        <v>0.5</v>
      </c>
      <c r="L660" s="5">
        <f>_xlfn.XLOOKUP(D660,products!$A$1:$A$49,products!$E$1:$E$49,,0)</f>
        <v>8.25</v>
      </c>
      <c r="M660">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_xlfn.XLOOKUP(orders!D661,products!$A$1:$A$49,products!$B$1:$B$49,,0)</f>
        <v>Ara</v>
      </c>
      <c r="J661" t="str">
        <f>_xlfn.XLOOKUP(D661,products!$A$1:$A$49,products!$C$1:$C$49,,0)</f>
        <v>D</v>
      </c>
      <c r="K661" s="13">
        <f>_xlfn.XLOOKUP(D661,products!$A$1:$A$49,products!$D$1:$D$49,,0)</f>
        <v>2.5</v>
      </c>
      <c r="L661" s="5">
        <f>_xlfn.XLOOKUP(D661,products!$A$1:$A$49,products!$E$1:$E$49,,0)</f>
        <v>22.884999999999998</v>
      </c>
      <c r="M661">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_xlfn.XLOOKUP(orders!D662,products!$A$1:$A$49,products!$B$1:$B$49,,0)</f>
        <v>Exc</v>
      </c>
      <c r="J662" t="str">
        <f>_xlfn.XLOOKUP(D662,products!$A$1:$A$49,products!$C$1:$C$49,,0)</f>
        <v>L</v>
      </c>
      <c r="K662" s="13">
        <f>_xlfn.XLOOKUP(D662,products!$A$1:$A$49,products!$D$1:$D$49,,0)</f>
        <v>0.5</v>
      </c>
      <c r="L662" s="5">
        <f>_xlfn.XLOOKUP(D662,products!$A$1:$A$49,products!$E$1:$E$49,,0)</f>
        <v>8.91</v>
      </c>
      <c r="M662">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_xlfn.XLOOKUP(orders!D663,products!$A$1:$A$49,products!$B$1:$B$49,,0)</f>
        <v>Ara</v>
      </c>
      <c r="J663" t="str">
        <f>_xlfn.XLOOKUP(D663,products!$A$1:$A$49,products!$C$1:$C$49,,0)</f>
        <v>M</v>
      </c>
      <c r="K663" s="13">
        <f>_xlfn.XLOOKUP(D663,products!$A$1:$A$49,products!$D$1:$D$49,,0)</f>
        <v>0.2</v>
      </c>
      <c r="L663" s="5">
        <f>_xlfn.XLOOKUP(D663,products!$A$1:$A$49,products!$E$1:$E$49,,0)</f>
        <v>3.375</v>
      </c>
      <c r="M663">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_xlfn.XLOOKUP(orders!D664,products!$A$1:$A$49,products!$B$1:$B$49,,0)</f>
        <v>Lib</v>
      </c>
      <c r="J664" t="str">
        <f>_xlfn.XLOOKUP(D664,products!$A$1:$A$49,products!$C$1:$C$49,,0)</f>
        <v>D</v>
      </c>
      <c r="K664" s="13">
        <f>_xlfn.XLOOKUP(D664,products!$A$1:$A$49,products!$D$1:$D$49,,0)</f>
        <v>2.5</v>
      </c>
      <c r="L664" s="5">
        <f>_xlfn.XLOOKUP(D664,products!$A$1:$A$49,products!$E$1:$E$49,,0)</f>
        <v>29.784999999999997</v>
      </c>
      <c r="M664">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_xlfn.XLOOKUP(orders!D665,products!$A$1:$A$49,products!$B$1:$B$49,,0)</f>
        <v>Ara</v>
      </c>
      <c r="J665" t="str">
        <f>_xlfn.XLOOKUP(D665,products!$A$1:$A$49,products!$C$1:$C$49,,0)</f>
        <v>M</v>
      </c>
      <c r="K665" s="13">
        <f>_xlfn.XLOOKUP(D665,products!$A$1:$A$49,products!$D$1:$D$49,,0)</f>
        <v>1</v>
      </c>
      <c r="L665" s="5">
        <f>_xlfn.XLOOKUP(D665,products!$A$1:$A$49,products!$E$1:$E$49,,0)</f>
        <v>11.25</v>
      </c>
      <c r="M66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_xlfn.XLOOKUP(orders!D666,products!$A$1:$A$49,products!$B$1:$B$49,,0)</f>
        <v>Exc</v>
      </c>
      <c r="J666" t="str">
        <f>_xlfn.XLOOKUP(D666,products!$A$1:$A$49,products!$C$1:$C$49,,0)</f>
        <v>D</v>
      </c>
      <c r="K666" s="13">
        <f>_xlfn.XLOOKUP(D666,products!$A$1:$A$49,products!$D$1:$D$49,,0)</f>
        <v>1</v>
      </c>
      <c r="L666" s="5">
        <f>_xlfn.XLOOKUP(D666,products!$A$1:$A$49,products!$E$1:$E$49,,0)</f>
        <v>12.15</v>
      </c>
      <c r="M666">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_xlfn.XLOOKUP(orders!D667,products!$A$1:$A$49,products!$B$1:$B$49,,0)</f>
        <v>Lib</v>
      </c>
      <c r="J667" t="str">
        <f>_xlfn.XLOOKUP(D667,products!$A$1:$A$49,products!$C$1:$C$49,,0)</f>
        <v>D</v>
      </c>
      <c r="K667" s="13">
        <f>_xlfn.XLOOKUP(D667,products!$A$1:$A$49,products!$D$1:$D$49,,0)</f>
        <v>0.2</v>
      </c>
      <c r="L667" s="5">
        <f>_xlfn.XLOOKUP(D667,products!$A$1:$A$49,products!$E$1:$E$49,,0)</f>
        <v>3.8849999999999998</v>
      </c>
      <c r="M667">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_xlfn.XLOOKUP(orders!D668,products!$A$1:$A$49,products!$B$1:$B$49,,0)</f>
        <v>Ara</v>
      </c>
      <c r="J668" t="str">
        <f>_xlfn.XLOOKUP(D668,products!$A$1:$A$49,products!$C$1:$C$49,,0)</f>
        <v>D</v>
      </c>
      <c r="K668" s="13">
        <f>_xlfn.XLOOKUP(D668,products!$A$1:$A$49,products!$D$1:$D$49,,0)</f>
        <v>2.5</v>
      </c>
      <c r="L668" s="5">
        <f>_xlfn.XLOOKUP(D668,products!$A$1:$A$49,products!$E$1:$E$49,,0)</f>
        <v>22.884999999999998</v>
      </c>
      <c r="M668">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_xlfn.XLOOKUP(orders!D669,products!$A$1:$A$49,products!$B$1:$B$49,,0)</f>
        <v>Ara</v>
      </c>
      <c r="J669" t="str">
        <f>_xlfn.XLOOKUP(D669,products!$A$1:$A$49,products!$C$1:$C$49,,0)</f>
        <v>D</v>
      </c>
      <c r="K669" s="13">
        <f>_xlfn.XLOOKUP(D669,products!$A$1:$A$49,products!$D$1:$D$49,,0)</f>
        <v>1</v>
      </c>
      <c r="L669" s="5">
        <f>_xlfn.XLOOKUP(D669,products!$A$1:$A$49,products!$E$1:$E$49,,0)</f>
        <v>9.9499999999999993</v>
      </c>
      <c r="M669">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_xlfn.XLOOKUP(orders!D670,products!$A$1:$A$49,products!$B$1:$B$49,,0)</f>
        <v>Rob</v>
      </c>
      <c r="J670" t="str">
        <f>_xlfn.XLOOKUP(D670,products!$A$1:$A$49,products!$C$1:$C$49,,0)</f>
        <v>L</v>
      </c>
      <c r="K670" s="13">
        <f>_xlfn.XLOOKUP(D670,products!$A$1:$A$49,products!$D$1:$D$49,,0)</f>
        <v>2.5</v>
      </c>
      <c r="L670" s="5">
        <f>_xlfn.XLOOKUP(D670,products!$A$1:$A$49,products!$E$1:$E$49,,0)</f>
        <v>27.484999999999996</v>
      </c>
      <c r="M670">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_xlfn.XLOOKUP(orders!D671,products!$A$1:$A$49,products!$B$1:$B$49,,0)</f>
        <v>Lib</v>
      </c>
      <c r="J671" t="str">
        <f>_xlfn.XLOOKUP(D671,products!$A$1:$A$49,products!$C$1:$C$49,,0)</f>
        <v>M</v>
      </c>
      <c r="K671" s="13">
        <f>_xlfn.XLOOKUP(D671,products!$A$1:$A$49,products!$D$1:$D$49,,0)</f>
        <v>2.5</v>
      </c>
      <c r="L671" s="5">
        <f>_xlfn.XLOOKUP(D671,products!$A$1:$A$49,products!$E$1:$E$49,,0)</f>
        <v>33.464999999999996</v>
      </c>
      <c r="M671">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_xlfn.XLOOKUP(orders!D672,products!$A$1:$A$49,products!$B$1:$B$49,,0)</f>
        <v>Lib</v>
      </c>
      <c r="J672" t="str">
        <f>_xlfn.XLOOKUP(D672,products!$A$1:$A$49,products!$C$1:$C$49,,0)</f>
        <v>M</v>
      </c>
      <c r="K672" s="13">
        <f>_xlfn.XLOOKUP(D672,products!$A$1:$A$49,products!$D$1:$D$49,,0)</f>
        <v>0.2</v>
      </c>
      <c r="L672" s="5">
        <f>_xlfn.XLOOKUP(D672,products!$A$1:$A$49,products!$E$1:$E$49,,0)</f>
        <v>4.3650000000000002</v>
      </c>
      <c r="M672">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_xlfn.XLOOKUP(orders!D673,products!$A$1:$A$49,products!$B$1:$B$49,,0)</f>
        <v>Rob</v>
      </c>
      <c r="J673" t="str">
        <f>_xlfn.XLOOKUP(D673,products!$A$1:$A$49,products!$C$1:$C$49,,0)</f>
        <v>L</v>
      </c>
      <c r="K673" s="13">
        <f>_xlfn.XLOOKUP(D673,products!$A$1:$A$49,products!$D$1:$D$49,,0)</f>
        <v>1</v>
      </c>
      <c r="L673" s="5">
        <f>_xlfn.XLOOKUP(D673,products!$A$1:$A$49,products!$E$1:$E$49,,0)</f>
        <v>11.95</v>
      </c>
      <c r="M673">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_xlfn.XLOOKUP(orders!D674,products!$A$1:$A$49,products!$B$1:$B$49,,0)</f>
        <v>Lib</v>
      </c>
      <c r="J674" t="str">
        <f>_xlfn.XLOOKUP(D674,products!$A$1:$A$49,products!$C$1:$C$49,,0)</f>
        <v>M</v>
      </c>
      <c r="K674" s="13">
        <f>_xlfn.XLOOKUP(D674,products!$A$1:$A$49,products!$D$1:$D$49,,0)</f>
        <v>0.5</v>
      </c>
      <c r="L674" s="5">
        <f>_xlfn.XLOOKUP(D674,products!$A$1:$A$49,products!$E$1:$E$49,,0)</f>
        <v>8.73</v>
      </c>
      <c r="M674">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_xlfn.XLOOKUP(orders!D675,products!$A$1:$A$49,products!$B$1:$B$49,,0)</f>
        <v>Exc</v>
      </c>
      <c r="J675" t="str">
        <f>_xlfn.XLOOKUP(D675,products!$A$1:$A$49,products!$C$1:$C$49,,0)</f>
        <v>M</v>
      </c>
      <c r="K675" s="13">
        <f>_xlfn.XLOOKUP(D675,products!$A$1:$A$49,products!$D$1:$D$49,,0)</f>
        <v>1</v>
      </c>
      <c r="L675" s="5">
        <f>_xlfn.XLOOKUP(D675,products!$A$1:$A$49,products!$E$1:$E$49,,0)</f>
        <v>13.75</v>
      </c>
      <c r="M67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_xlfn.XLOOKUP(orders!D676,products!$A$1:$A$49,products!$B$1:$B$49,,0)</f>
        <v>Ara</v>
      </c>
      <c r="J676" t="str">
        <f>_xlfn.XLOOKUP(D676,products!$A$1:$A$49,products!$C$1:$C$49,,0)</f>
        <v>L</v>
      </c>
      <c r="K676" s="13">
        <f>_xlfn.XLOOKUP(D676,products!$A$1:$A$49,products!$D$1:$D$49,,0)</f>
        <v>2.5</v>
      </c>
      <c r="L676" s="5">
        <f>_xlfn.XLOOKUP(D676,products!$A$1:$A$49,products!$E$1:$E$49,,0)</f>
        <v>29.784999999999997</v>
      </c>
      <c r="M676">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_xlfn.XLOOKUP(orders!D677,products!$A$1:$A$49,products!$B$1:$B$49,,0)</f>
        <v>Lib</v>
      </c>
      <c r="J677" t="str">
        <f>_xlfn.XLOOKUP(D677,products!$A$1:$A$49,products!$C$1:$C$49,,0)</f>
        <v>D</v>
      </c>
      <c r="K677" s="13">
        <f>_xlfn.XLOOKUP(D677,products!$A$1:$A$49,products!$D$1:$D$49,,0)</f>
        <v>2.5</v>
      </c>
      <c r="L677" s="5">
        <f>_xlfn.XLOOKUP(D677,products!$A$1:$A$49,products!$E$1:$E$49,,0)</f>
        <v>29.784999999999997</v>
      </c>
      <c r="M677">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_xlfn.XLOOKUP(orders!D678,products!$A$1:$A$49,products!$B$1:$B$49,,0)</f>
        <v>Lib</v>
      </c>
      <c r="J678" t="str">
        <f>_xlfn.XLOOKUP(D678,products!$A$1:$A$49,products!$C$1:$C$49,,0)</f>
        <v>L</v>
      </c>
      <c r="K678" s="13">
        <f>_xlfn.XLOOKUP(D678,products!$A$1:$A$49,products!$D$1:$D$49,,0)</f>
        <v>0.5</v>
      </c>
      <c r="L678" s="5">
        <f>_xlfn.XLOOKUP(D678,products!$A$1:$A$49,products!$E$1:$E$49,,0)</f>
        <v>9.51</v>
      </c>
      <c r="M678">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_xlfn.XLOOKUP(orders!D679,products!$A$1:$A$49,products!$B$1:$B$49,,0)</f>
        <v>Lib</v>
      </c>
      <c r="J679" t="str">
        <f>_xlfn.XLOOKUP(D679,products!$A$1:$A$49,products!$C$1:$C$49,,0)</f>
        <v>M</v>
      </c>
      <c r="K679" s="13">
        <f>_xlfn.XLOOKUP(D679,products!$A$1:$A$49,products!$D$1:$D$49,,0)</f>
        <v>0.5</v>
      </c>
      <c r="L679" s="5">
        <f>_xlfn.XLOOKUP(D679,products!$A$1:$A$49,products!$E$1:$E$49,,0)</f>
        <v>8.73</v>
      </c>
      <c r="M679">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_xlfn.XLOOKUP(orders!D680,products!$A$1:$A$49,products!$B$1:$B$49,,0)</f>
        <v>Ara</v>
      </c>
      <c r="J680" t="str">
        <f>_xlfn.XLOOKUP(D680,products!$A$1:$A$49,products!$C$1:$C$49,,0)</f>
        <v>L</v>
      </c>
      <c r="K680" s="13">
        <f>_xlfn.XLOOKUP(D680,products!$A$1:$A$49,products!$D$1:$D$49,,0)</f>
        <v>2.5</v>
      </c>
      <c r="L680" s="5">
        <f>_xlfn.XLOOKUP(D680,products!$A$1:$A$49,products!$E$1:$E$49,,0)</f>
        <v>29.784999999999997</v>
      </c>
      <c r="M680">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_xlfn.XLOOKUP(orders!D681,products!$A$1:$A$49,products!$B$1:$B$49,,0)</f>
        <v>Rob</v>
      </c>
      <c r="J681" t="str">
        <f>_xlfn.XLOOKUP(D681,products!$A$1:$A$49,products!$C$1:$C$49,,0)</f>
        <v>L</v>
      </c>
      <c r="K681" s="13">
        <f>_xlfn.XLOOKUP(D681,products!$A$1:$A$49,products!$D$1:$D$49,,0)</f>
        <v>2.5</v>
      </c>
      <c r="L681" s="5">
        <f>_xlfn.XLOOKUP(D681,products!$A$1:$A$49,products!$E$1:$E$49,,0)</f>
        <v>27.484999999999996</v>
      </c>
      <c r="M681">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_xlfn.XLOOKUP(orders!D682,products!$A$1:$A$49,products!$B$1:$B$49,,0)</f>
        <v>Ara</v>
      </c>
      <c r="J682" t="str">
        <f>_xlfn.XLOOKUP(D682,products!$A$1:$A$49,products!$C$1:$C$49,,0)</f>
        <v>M</v>
      </c>
      <c r="K682" s="13">
        <f>_xlfn.XLOOKUP(D682,products!$A$1:$A$49,products!$D$1:$D$49,,0)</f>
        <v>1</v>
      </c>
      <c r="L682" s="5">
        <f>_xlfn.XLOOKUP(D682,products!$A$1:$A$49,products!$E$1:$E$49,,0)</f>
        <v>11.25</v>
      </c>
      <c r="M682">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_xlfn.XLOOKUP(orders!D683,products!$A$1:$A$49,products!$B$1:$B$49,,0)</f>
        <v>Lib</v>
      </c>
      <c r="J683" t="str">
        <f>_xlfn.XLOOKUP(D683,products!$A$1:$A$49,products!$C$1:$C$49,,0)</f>
        <v>L</v>
      </c>
      <c r="K683" s="13">
        <f>_xlfn.XLOOKUP(D683,products!$A$1:$A$49,products!$D$1:$D$49,,0)</f>
        <v>0.2</v>
      </c>
      <c r="L683" s="5">
        <f>_xlfn.XLOOKUP(D683,products!$A$1:$A$49,products!$E$1:$E$49,,0)</f>
        <v>4.7549999999999999</v>
      </c>
      <c r="M683">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_xlfn.XLOOKUP(orders!D684,products!$A$1:$A$49,products!$B$1:$B$49,,0)</f>
        <v>Exc</v>
      </c>
      <c r="J684" t="str">
        <f>_xlfn.XLOOKUP(D684,products!$A$1:$A$49,products!$C$1:$C$49,,0)</f>
        <v>M</v>
      </c>
      <c r="K684" s="13">
        <f>_xlfn.XLOOKUP(D684,products!$A$1:$A$49,products!$D$1:$D$49,,0)</f>
        <v>0.2</v>
      </c>
      <c r="L684" s="5">
        <f>_xlfn.XLOOKUP(D684,products!$A$1:$A$49,products!$E$1:$E$49,,0)</f>
        <v>4.125</v>
      </c>
      <c r="M684">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_xlfn.XLOOKUP(orders!D685,products!$A$1:$A$49,products!$B$1:$B$49,,0)</f>
        <v>Lib</v>
      </c>
      <c r="J685" t="str">
        <f>_xlfn.XLOOKUP(D685,products!$A$1:$A$49,products!$C$1:$C$49,,0)</f>
        <v>D</v>
      </c>
      <c r="K685" s="13">
        <f>_xlfn.XLOOKUP(D685,products!$A$1:$A$49,products!$D$1:$D$49,,0)</f>
        <v>0.5</v>
      </c>
      <c r="L685" s="5">
        <f>_xlfn.XLOOKUP(D685,products!$A$1:$A$49,products!$E$1:$E$49,,0)</f>
        <v>7.77</v>
      </c>
      <c r="M68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_xlfn.XLOOKUP(orders!D686,products!$A$1:$A$49,products!$B$1:$B$49,,0)</f>
        <v>Rob</v>
      </c>
      <c r="J686" t="str">
        <f>_xlfn.XLOOKUP(D686,products!$A$1:$A$49,products!$C$1:$C$49,,0)</f>
        <v>L</v>
      </c>
      <c r="K686" s="13">
        <f>_xlfn.XLOOKUP(D686,products!$A$1:$A$49,products!$D$1:$D$49,,0)</f>
        <v>1</v>
      </c>
      <c r="L686" s="5">
        <f>_xlfn.XLOOKUP(D686,products!$A$1:$A$49,products!$E$1:$E$49,,0)</f>
        <v>11.95</v>
      </c>
      <c r="M686">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_xlfn.XLOOKUP(orders!D687,products!$A$1:$A$49,products!$B$1:$B$49,,0)</f>
        <v>Lib</v>
      </c>
      <c r="J687" t="str">
        <f>_xlfn.XLOOKUP(D687,products!$A$1:$A$49,products!$C$1:$C$49,,0)</f>
        <v>L</v>
      </c>
      <c r="K687" s="13">
        <f>_xlfn.XLOOKUP(D687,products!$A$1:$A$49,products!$D$1:$D$49,,0)</f>
        <v>2.5</v>
      </c>
      <c r="L687" s="5">
        <f>_xlfn.XLOOKUP(D687,products!$A$1:$A$49,products!$E$1:$E$49,,0)</f>
        <v>36.454999999999998</v>
      </c>
      <c r="M687">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_xlfn.XLOOKUP(orders!D688,products!$A$1:$A$49,products!$B$1:$B$49,,0)</f>
        <v>Rob</v>
      </c>
      <c r="J688" t="str">
        <f>_xlfn.XLOOKUP(D688,products!$A$1:$A$49,products!$C$1:$C$49,,0)</f>
        <v>D</v>
      </c>
      <c r="K688" s="13">
        <f>_xlfn.XLOOKUP(D688,products!$A$1:$A$49,products!$D$1:$D$49,,0)</f>
        <v>0.2</v>
      </c>
      <c r="L688" s="5">
        <f>_xlfn.XLOOKUP(D688,products!$A$1:$A$49,products!$E$1:$E$49,,0)</f>
        <v>2.6849999999999996</v>
      </c>
      <c r="M688">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_xlfn.XLOOKUP(orders!D689,products!$A$1:$A$49,products!$B$1:$B$49,,0)</f>
        <v>Exc</v>
      </c>
      <c r="J689" t="str">
        <f>_xlfn.XLOOKUP(D689,products!$A$1:$A$49,products!$C$1:$C$49,,0)</f>
        <v>M</v>
      </c>
      <c r="K689" s="13">
        <f>_xlfn.XLOOKUP(D689,products!$A$1:$A$49,products!$D$1:$D$49,,0)</f>
        <v>0.5</v>
      </c>
      <c r="L689" s="5">
        <f>_xlfn.XLOOKUP(D689,products!$A$1:$A$49,products!$E$1:$E$49,,0)</f>
        <v>8.25</v>
      </c>
      <c r="M689">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_xlfn.XLOOKUP(orders!D690,products!$A$1:$A$49,products!$B$1:$B$49,,0)</f>
        <v>Ara</v>
      </c>
      <c r="J690" t="str">
        <f>_xlfn.XLOOKUP(D690,products!$A$1:$A$49,products!$C$1:$C$49,,0)</f>
        <v>L</v>
      </c>
      <c r="K690" s="13">
        <f>_xlfn.XLOOKUP(D690,products!$A$1:$A$49,products!$D$1:$D$49,,0)</f>
        <v>1</v>
      </c>
      <c r="L690" s="5">
        <f>_xlfn.XLOOKUP(D690,products!$A$1:$A$49,products!$E$1:$E$49,,0)</f>
        <v>12.95</v>
      </c>
      <c r="M690">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_xlfn.XLOOKUP(orders!D691,products!$A$1:$A$49,products!$B$1:$B$49,,0)</f>
        <v>Ara</v>
      </c>
      <c r="J691" t="str">
        <f>_xlfn.XLOOKUP(D691,products!$A$1:$A$49,products!$C$1:$C$49,,0)</f>
        <v>M</v>
      </c>
      <c r="K691" s="13">
        <f>_xlfn.XLOOKUP(D691,products!$A$1:$A$49,products!$D$1:$D$49,,0)</f>
        <v>0.5</v>
      </c>
      <c r="L691" s="5">
        <f>_xlfn.XLOOKUP(D691,products!$A$1:$A$49,products!$E$1:$E$49,,0)</f>
        <v>6.75</v>
      </c>
      <c r="M691">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_xlfn.XLOOKUP(orders!D692,products!$A$1:$A$49,products!$B$1:$B$49,,0)</f>
        <v>Lib</v>
      </c>
      <c r="J692" t="str">
        <f>_xlfn.XLOOKUP(D692,products!$A$1:$A$49,products!$C$1:$C$49,,0)</f>
        <v>D</v>
      </c>
      <c r="K692" s="13">
        <f>_xlfn.XLOOKUP(D692,products!$A$1:$A$49,products!$D$1:$D$49,,0)</f>
        <v>2.5</v>
      </c>
      <c r="L692" s="5">
        <f>_xlfn.XLOOKUP(D692,products!$A$1:$A$49,products!$E$1:$E$49,,0)</f>
        <v>29.784999999999997</v>
      </c>
      <c r="M692">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_xlfn.XLOOKUP(orders!D693,products!$A$1:$A$49,products!$B$1:$B$49,,0)</f>
        <v>Ara</v>
      </c>
      <c r="J693" t="str">
        <f>_xlfn.XLOOKUP(D693,products!$A$1:$A$49,products!$C$1:$C$49,,0)</f>
        <v>M</v>
      </c>
      <c r="K693" s="13">
        <f>_xlfn.XLOOKUP(D693,products!$A$1:$A$49,products!$D$1:$D$49,,0)</f>
        <v>1</v>
      </c>
      <c r="L693" s="5">
        <f>_xlfn.XLOOKUP(D693,products!$A$1:$A$49,products!$E$1:$E$49,,0)</f>
        <v>11.25</v>
      </c>
      <c r="M693">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_xlfn.XLOOKUP(orders!D694,products!$A$1:$A$49,products!$B$1:$B$49,,0)</f>
        <v>Lib</v>
      </c>
      <c r="J694" t="str">
        <f>_xlfn.XLOOKUP(D694,products!$A$1:$A$49,products!$C$1:$C$49,,0)</f>
        <v>D</v>
      </c>
      <c r="K694" s="13">
        <f>_xlfn.XLOOKUP(D694,products!$A$1:$A$49,products!$D$1:$D$49,,0)</f>
        <v>1</v>
      </c>
      <c r="L694" s="5">
        <f>_xlfn.XLOOKUP(D694,products!$A$1:$A$49,products!$E$1:$E$49,,0)</f>
        <v>12.95</v>
      </c>
      <c r="M694">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_xlfn.XLOOKUP(orders!D695,products!$A$1:$A$49,products!$B$1:$B$49,,0)</f>
        <v>Ara</v>
      </c>
      <c r="J695" t="str">
        <f>_xlfn.XLOOKUP(D695,products!$A$1:$A$49,products!$C$1:$C$49,,0)</f>
        <v>M</v>
      </c>
      <c r="K695" s="13">
        <f>_xlfn.XLOOKUP(D695,products!$A$1:$A$49,products!$D$1:$D$49,,0)</f>
        <v>2.5</v>
      </c>
      <c r="L695" s="5">
        <f>_xlfn.XLOOKUP(D695,products!$A$1:$A$49,products!$E$1:$E$49,,0)</f>
        <v>25.874999999999996</v>
      </c>
      <c r="M69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_xlfn.XLOOKUP(orders!D696,products!$A$1:$A$49,products!$B$1:$B$49,,0)</f>
        <v>Exc</v>
      </c>
      <c r="J696" t="str">
        <f>_xlfn.XLOOKUP(D696,products!$A$1:$A$49,products!$C$1:$C$49,,0)</f>
        <v>D</v>
      </c>
      <c r="K696" s="13">
        <f>_xlfn.XLOOKUP(D696,products!$A$1:$A$49,products!$D$1:$D$49,,0)</f>
        <v>0.5</v>
      </c>
      <c r="L696" s="5">
        <f>_xlfn.XLOOKUP(D696,products!$A$1:$A$49,products!$E$1:$E$49,,0)</f>
        <v>7.29</v>
      </c>
      <c r="M696">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_xlfn.XLOOKUP(orders!D697,products!$A$1:$A$49,products!$B$1:$B$49,,0)</f>
        <v>Lib</v>
      </c>
      <c r="J697" t="str">
        <f>_xlfn.XLOOKUP(D697,products!$A$1:$A$49,products!$C$1:$C$49,,0)</f>
        <v>L</v>
      </c>
      <c r="K697" s="13">
        <f>_xlfn.XLOOKUP(D697,products!$A$1:$A$49,products!$D$1:$D$49,,0)</f>
        <v>2.5</v>
      </c>
      <c r="L697" s="5">
        <f>_xlfn.XLOOKUP(D697,products!$A$1:$A$49,products!$E$1:$E$49,,0)</f>
        <v>36.454999999999998</v>
      </c>
      <c r="M697">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_xlfn.XLOOKUP(orders!D698,products!$A$1:$A$49,products!$B$1:$B$49,,0)</f>
        <v>Lib</v>
      </c>
      <c r="J698" t="str">
        <f>_xlfn.XLOOKUP(D698,products!$A$1:$A$49,products!$C$1:$C$49,,0)</f>
        <v>D</v>
      </c>
      <c r="K698" s="13">
        <f>_xlfn.XLOOKUP(D698,products!$A$1:$A$49,products!$D$1:$D$49,,0)</f>
        <v>0.5</v>
      </c>
      <c r="L698" s="5">
        <f>_xlfn.XLOOKUP(D698,products!$A$1:$A$49,products!$E$1:$E$49,,0)</f>
        <v>7.77</v>
      </c>
      <c r="M698">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_xlfn.XLOOKUP(orders!D699,products!$A$1:$A$49,products!$B$1:$B$49,,0)</f>
        <v>Ara</v>
      </c>
      <c r="J699" t="str">
        <f>_xlfn.XLOOKUP(D699,products!$A$1:$A$49,products!$C$1:$C$49,,0)</f>
        <v>M</v>
      </c>
      <c r="K699" s="13">
        <f>_xlfn.XLOOKUP(D699,products!$A$1:$A$49,products!$D$1:$D$49,,0)</f>
        <v>0.5</v>
      </c>
      <c r="L699" s="5">
        <f>_xlfn.XLOOKUP(D699,products!$A$1:$A$49,products!$E$1:$E$49,,0)</f>
        <v>6.75</v>
      </c>
      <c r="M699">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_xlfn.XLOOKUP(orders!D700,products!$A$1:$A$49,products!$B$1:$B$49,,0)</f>
        <v>Lib</v>
      </c>
      <c r="J700" t="str">
        <f>_xlfn.XLOOKUP(D700,products!$A$1:$A$49,products!$C$1:$C$49,,0)</f>
        <v>D</v>
      </c>
      <c r="K700" s="13">
        <f>_xlfn.XLOOKUP(D700,products!$A$1:$A$49,products!$D$1:$D$49,,0)</f>
        <v>1</v>
      </c>
      <c r="L700" s="5">
        <f>_xlfn.XLOOKUP(D700,products!$A$1:$A$49,products!$E$1:$E$49,,0)</f>
        <v>12.95</v>
      </c>
      <c r="M700">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_xlfn.XLOOKUP(orders!D701,products!$A$1:$A$49,products!$B$1:$B$49,,0)</f>
        <v>Ara</v>
      </c>
      <c r="J701" t="str">
        <f>_xlfn.XLOOKUP(D701,products!$A$1:$A$49,products!$C$1:$C$49,,0)</f>
        <v>D</v>
      </c>
      <c r="K701" s="13">
        <f>_xlfn.XLOOKUP(D701,products!$A$1:$A$49,products!$D$1:$D$49,,0)</f>
        <v>0.5</v>
      </c>
      <c r="L701" s="5">
        <f>_xlfn.XLOOKUP(D701,products!$A$1:$A$49,products!$E$1:$E$49,,0)</f>
        <v>5.97</v>
      </c>
      <c r="M701">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_xlfn.XLOOKUP(orders!D702,products!$A$1:$A$49,products!$B$1:$B$49,,0)</f>
        <v>Lib</v>
      </c>
      <c r="J702" t="str">
        <f>_xlfn.XLOOKUP(D702,products!$A$1:$A$49,products!$C$1:$C$49,,0)</f>
        <v>L</v>
      </c>
      <c r="K702" s="13">
        <f>_xlfn.XLOOKUP(D702,products!$A$1:$A$49,products!$D$1:$D$49,,0)</f>
        <v>0.5</v>
      </c>
      <c r="L702" s="5">
        <f>_xlfn.XLOOKUP(D702,products!$A$1:$A$49,products!$E$1:$E$49,,0)</f>
        <v>9.51</v>
      </c>
      <c r="M702">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_xlfn.XLOOKUP(orders!D703,products!$A$1:$A$49,products!$B$1:$B$49,,0)</f>
        <v>Ara</v>
      </c>
      <c r="J703" t="str">
        <f>_xlfn.XLOOKUP(D703,products!$A$1:$A$49,products!$C$1:$C$49,,0)</f>
        <v>D</v>
      </c>
      <c r="K703" s="13">
        <f>_xlfn.XLOOKUP(D703,products!$A$1:$A$49,products!$D$1:$D$49,,0)</f>
        <v>0.5</v>
      </c>
      <c r="L703" s="5">
        <f>_xlfn.XLOOKUP(D703,products!$A$1:$A$49,products!$E$1:$E$49,,0)</f>
        <v>5.97</v>
      </c>
      <c r="M703">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_xlfn.XLOOKUP(orders!D704,products!$A$1:$A$49,products!$B$1:$B$49,,0)</f>
        <v>Ara</v>
      </c>
      <c r="J704" t="str">
        <f>_xlfn.XLOOKUP(D704,products!$A$1:$A$49,products!$C$1:$C$49,,0)</f>
        <v>L</v>
      </c>
      <c r="K704" s="13">
        <f>_xlfn.XLOOKUP(D704,products!$A$1:$A$49,products!$D$1:$D$49,,0)</f>
        <v>0.5</v>
      </c>
      <c r="L704" s="5">
        <f>_xlfn.XLOOKUP(D704,products!$A$1:$A$49,products!$E$1:$E$49,,0)</f>
        <v>7.77</v>
      </c>
      <c r="M704">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_xlfn.XLOOKUP(orders!D705,products!$A$1:$A$49,products!$B$1:$B$49,,0)</f>
        <v>Lib</v>
      </c>
      <c r="J705" t="str">
        <f>_xlfn.XLOOKUP(D705,products!$A$1:$A$49,products!$C$1:$C$49,,0)</f>
        <v>D</v>
      </c>
      <c r="K705" s="13">
        <f>_xlfn.XLOOKUP(D705,products!$A$1:$A$49,products!$D$1:$D$49,,0)</f>
        <v>2.5</v>
      </c>
      <c r="L705" s="5">
        <f>_xlfn.XLOOKUP(D705,products!$A$1:$A$49,products!$E$1:$E$49,,0)</f>
        <v>29.784999999999997</v>
      </c>
      <c r="M70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_xlfn.XLOOKUP(orders!D706,products!$A$1:$A$49,products!$B$1:$B$49,,0)</f>
        <v>Exc</v>
      </c>
      <c r="J706" t="str">
        <f>_xlfn.XLOOKUP(D706,products!$A$1:$A$49,products!$C$1:$C$49,,0)</f>
        <v>D</v>
      </c>
      <c r="K706" s="13">
        <f>_xlfn.XLOOKUP(D706,products!$A$1:$A$49,products!$D$1:$D$49,,0)</f>
        <v>0.2</v>
      </c>
      <c r="L706" s="5">
        <f>_xlfn.XLOOKUP(D706,products!$A$1:$A$49,products!$E$1:$E$49,,0)</f>
        <v>3.645</v>
      </c>
      <c r="M706">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_xlfn.XLOOKUP(orders!D707,products!$A$1:$A$49,products!$B$1:$B$49,,0)</f>
        <v>Exc</v>
      </c>
      <c r="J707" t="str">
        <f>_xlfn.XLOOKUP(D707,products!$A$1:$A$49,products!$C$1:$C$49,,0)</f>
        <v>L</v>
      </c>
      <c r="K707" s="13">
        <f>_xlfn.XLOOKUP(D707,products!$A$1:$A$49,products!$D$1:$D$49,,0)</f>
        <v>0.5</v>
      </c>
      <c r="L707" s="5">
        <f>_xlfn.XLOOKUP(D707,products!$A$1:$A$49,products!$E$1:$E$49,,0)</f>
        <v>8.91</v>
      </c>
      <c r="M70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_xlfn.XLOOKUP(orders!D708,products!$A$1:$A$49,products!$B$1:$B$49,,0)</f>
        <v>Exc</v>
      </c>
      <c r="J708" t="str">
        <f>_xlfn.XLOOKUP(D708,products!$A$1:$A$49,products!$C$1:$C$49,,0)</f>
        <v>M</v>
      </c>
      <c r="K708" s="13">
        <f>_xlfn.XLOOKUP(D708,products!$A$1:$A$49,products!$D$1:$D$49,,0)</f>
        <v>0.2</v>
      </c>
      <c r="L708" s="5">
        <f>_xlfn.XLOOKUP(D708,products!$A$1:$A$49,products!$E$1:$E$49,,0)</f>
        <v>4.125</v>
      </c>
      <c r="M708">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_xlfn.XLOOKUP(orders!D709,products!$A$1:$A$49,products!$B$1:$B$49,,0)</f>
        <v>Lib</v>
      </c>
      <c r="J709" t="str">
        <f>_xlfn.XLOOKUP(D709,products!$A$1:$A$49,products!$C$1:$C$49,,0)</f>
        <v>D</v>
      </c>
      <c r="K709" s="13">
        <f>_xlfn.XLOOKUP(D709,products!$A$1:$A$49,products!$D$1:$D$49,,0)</f>
        <v>1</v>
      </c>
      <c r="L709" s="5">
        <f>_xlfn.XLOOKUP(D709,products!$A$1:$A$49,products!$E$1:$E$49,,0)</f>
        <v>12.95</v>
      </c>
      <c r="M709">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_xlfn.XLOOKUP(orders!D710,products!$A$1:$A$49,products!$B$1:$B$49,,0)</f>
        <v>Ara</v>
      </c>
      <c r="J710" t="str">
        <f>_xlfn.XLOOKUP(D710,products!$A$1:$A$49,products!$C$1:$C$49,,0)</f>
        <v>M</v>
      </c>
      <c r="K710" s="13">
        <f>_xlfn.XLOOKUP(D710,products!$A$1:$A$49,products!$D$1:$D$49,,0)</f>
        <v>0.5</v>
      </c>
      <c r="L710" s="5">
        <f>_xlfn.XLOOKUP(D710,products!$A$1:$A$49,products!$E$1:$E$49,,0)</f>
        <v>6.75</v>
      </c>
      <c r="M710">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_xlfn.XLOOKUP(orders!D711,products!$A$1:$A$49,products!$B$1:$B$49,,0)</f>
        <v>Exc</v>
      </c>
      <c r="J711" t="str">
        <f>_xlfn.XLOOKUP(D711,products!$A$1:$A$49,products!$C$1:$C$49,,0)</f>
        <v>L</v>
      </c>
      <c r="K711" s="13">
        <f>_xlfn.XLOOKUP(D711,products!$A$1:$A$49,products!$D$1:$D$49,,0)</f>
        <v>0.5</v>
      </c>
      <c r="L711" s="5">
        <f>_xlfn.XLOOKUP(D711,products!$A$1:$A$49,products!$E$1:$E$49,,0)</f>
        <v>8.91</v>
      </c>
      <c r="M711">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_xlfn.XLOOKUP(orders!D712,products!$A$1:$A$49,products!$B$1:$B$49,,0)</f>
        <v>Exc</v>
      </c>
      <c r="J712" t="str">
        <f>_xlfn.XLOOKUP(D712,products!$A$1:$A$49,products!$C$1:$C$49,,0)</f>
        <v>M</v>
      </c>
      <c r="K712" s="13">
        <f>_xlfn.XLOOKUP(D712,products!$A$1:$A$49,products!$D$1:$D$49,,0)</f>
        <v>0.5</v>
      </c>
      <c r="L712" s="5">
        <f>_xlfn.XLOOKUP(D712,products!$A$1:$A$49,products!$E$1:$E$49,,0)</f>
        <v>8.25</v>
      </c>
      <c r="M712">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_xlfn.XLOOKUP(orders!D713,products!$A$1:$A$49,products!$B$1:$B$49,,0)</f>
        <v>Rob</v>
      </c>
      <c r="J713" t="str">
        <f>_xlfn.XLOOKUP(D713,products!$A$1:$A$49,products!$C$1:$C$49,,0)</f>
        <v>M</v>
      </c>
      <c r="K713" s="13">
        <f>_xlfn.XLOOKUP(D713,products!$A$1:$A$49,products!$D$1:$D$49,,0)</f>
        <v>0.2</v>
      </c>
      <c r="L713" s="5">
        <f>_xlfn.XLOOKUP(D713,products!$A$1:$A$49,products!$E$1:$E$49,,0)</f>
        <v>2.9849999999999999</v>
      </c>
      <c r="M713">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_xlfn.XLOOKUP(orders!D714,products!$A$1:$A$49,products!$B$1:$B$49,,0)</f>
        <v>Exc</v>
      </c>
      <c r="J714" t="str">
        <f>_xlfn.XLOOKUP(D714,products!$A$1:$A$49,products!$C$1:$C$49,,0)</f>
        <v>M</v>
      </c>
      <c r="K714" s="13">
        <f>_xlfn.XLOOKUP(D714,products!$A$1:$A$49,products!$D$1:$D$49,,0)</f>
        <v>0.5</v>
      </c>
      <c r="L714" s="5">
        <f>_xlfn.XLOOKUP(D714,products!$A$1:$A$49,products!$E$1:$E$49,,0)</f>
        <v>8.25</v>
      </c>
      <c r="M714">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_xlfn.XLOOKUP(orders!D715,products!$A$1:$A$49,products!$B$1:$B$49,,0)</f>
        <v>Rob</v>
      </c>
      <c r="J715" t="str">
        <f>_xlfn.XLOOKUP(D715,products!$A$1:$A$49,products!$C$1:$C$49,,0)</f>
        <v>M</v>
      </c>
      <c r="K715" s="13">
        <f>_xlfn.XLOOKUP(D715,products!$A$1:$A$49,products!$D$1:$D$49,,0)</f>
        <v>0.2</v>
      </c>
      <c r="L715" s="5">
        <f>_xlfn.XLOOKUP(D715,products!$A$1:$A$49,products!$E$1:$E$49,,0)</f>
        <v>2.9849999999999999</v>
      </c>
      <c r="M71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_xlfn.XLOOKUP(orders!D716,products!$A$1:$A$49,products!$B$1:$B$49,,0)</f>
        <v>Exc</v>
      </c>
      <c r="J716" t="str">
        <f>_xlfn.XLOOKUP(D716,products!$A$1:$A$49,products!$C$1:$C$49,,0)</f>
        <v>D</v>
      </c>
      <c r="K716" s="13">
        <f>_xlfn.XLOOKUP(D716,products!$A$1:$A$49,products!$D$1:$D$49,,0)</f>
        <v>0.2</v>
      </c>
      <c r="L716" s="5">
        <f>_xlfn.XLOOKUP(D716,products!$A$1:$A$49,products!$E$1:$E$49,,0)</f>
        <v>3.645</v>
      </c>
      <c r="M716">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_xlfn.XLOOKUP(orders!D717,products!$A$1:$A$49,products!$B$1:$B$49,,0)</f>
        <v>Exc</v>
      </c>
      <c r="J717" t="str">
        <f>_xlfn.XLOOKUP(D717,products!$A$1:$A$49,products!$C$1:$C$49,,0)</f>
        <v>L</v>
      </c>
      <c r="K717" s="13">
        <f>_xlfn.XLOOKUP(D717,products!$A$1:$A$49,products!$D$1:$D$49,,0)</f>
        <v>1</v>
      </c>
      <c r="L717" s="5">
        <f>_xlfn.XLOOKUP(D717,products!$A$1:$A$49,products!$E$1:$E$49,,0)</f>
        <v>14.85</v>
      </c>
      <c r="M717">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_xlfn.XLOOKUP(orders!D718,products!$A$1:$A$49,products!$B$1:$B$49,,0)</f>
        <v>Rob</v>
      </c>
      <c r="J718" t="str">
        <f>_xlfn.XLOOKUP(D718,products!$A$1:$A$49,products!$C$1:$C$49,,0)</f>
        <v>L</v>
      </c>
      <c r="K718" s="13">
        <f>_xlfn.XLOOKUP(D718,products!$A$1:$A$49,products!$D$1:$D$49,,0)</f>
        <v>1</v>
      </c>
      <c r="L718" s="5">
        <f>_xlfn.XLOOKUP(D718,products!$A$1:$A$49,products!$E$1:$E$49,,0)</f>
        <v>11.95</v>
      </c>
      <c r="M718">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_xlfn.XLOOKUP(orders!D719,products!$A$1:$A$49,products!$B$1:$B$49,,0)</f>
        <v>Ara</v>
      </c>
      <c r="J719" t="str">
        <f>_xlfn.XLOOKUP(D719,products!$A$1:$A$49,products!$C$1:$C$49,,0)</f>
        <v>D</v>
      </c>
      <c r="K719" s="13">
        <f>_xlfn.XLOOKUP(D719,products!$A$1:$A$49,products!$D$1:$D$49,,0)</f>
        <v>2.5</v>
      </c>
      <c r="L719" s="5">
        <f>_xlfn.XLOOKUP(D719,products!$A$1:$A$49,products!$E$1:$E$49,,0)</f>
        <v>22.884999999999998</v>
      </c>
      <c r="M719">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_xlfn.XLOOKUP(orders!D720,products!$A$1:$A$49,products!$B$1:$B$49,,0)</f>
        <v>Lib</v>
      </c>
      <c r="J720" t="str">
        <f>_xlfn.XLOOKUP(D720,products!$A$1:$A$49,products!$C$1:$C$49,,0)</f>
        <v>D</v>
      </c>
      <c r="K720" s="13">
        <f>_xlfn.XLOOKUP(D720,products!$A$1:$A$49,products!$D$1:$D$49,,0)</f>
        <v>1</v>
      </c>
      <c r="L720" s="5">
        <f>_xlfn.XLOOKUP(D720,products!$A$1:$A$49,products!$E$1:$E$49,,0)</f>
        <v>12.95</v>
      </c>
      <c r="M720">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_xlfn.XLOOKUP(orders!D721,products!$A$1:$A$49,products!$B$1:$B$49,,0)</f>
        <v>Lib</v>
      </c>
      <c r="J721" t="str">
        <f>_xlfn.XLOOKUP(D721,products!$A$1:$A$49,products!$C$1:$C$49,,0)</f>
        <v>L</v>
      </c>
      <c r="K721" s="13">
        <f>_xlfn.XLOOKUP(D721,products!$A$1:$A$49,products!$D$1:$D$49,,0)</f>
        <v>1</v>
      </c>
      <c r="L721" s="5">
        <f>_xlfn.XLOOKUP(D721,products!$A$1:$A$49,products!$E$1:$E$49,,0)</f>
        <v>15.85</v>
      </c>
      <c r="M721">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_xlfn.XLOOKUP(orders!D722,products!$A$1:$A$49,products!$B$1:$B$49,,0)</f>
        <v>Exc</v>
      </c>
      <c r="J722" t="str">
        <f>_xlfn.XLOOKUP(D722,products!$A$1:$A$49,products!$C$1:$C$49,,0)</f>
        <v>D</v>
      </c>
      <c r="K722" s="13">
        <f>_xlfn.XLOOKUP(D722,products!$A$1:$A$49,products!$D$1:$D$49,,0)</f>
        <v>0.5</v>
      </c>
      <c r="L722" s="5">
        <f>_xlfn.XLOOKUP(D722,products!$A$1:$A$49,products!$E$1:$E$49,,0)</f>
        <v>7.29</v>
      </c>
      <c r="M722">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_xlfn.XLOOKUP(orders!D723,products!$A$1:$A$49,products!$B$1:$B$49,,0)</f>
        <v>Rob</v>
      </c>
      <c r="J723" t="str">
        <f>_xlfn.XLOOKUP(D723,products!$A$1:$A$49,products!$C$1:$C$49,,0)</f>
        <v>M</v>
      </c>
      <c r="K723" s="13">
        <f>_xlfn.XLOOKUP(D723,products!$A$1:$A$49,products!$D$1:$D$49,,0)</f>
        <v>0.2</v>
      </c>
      <c r="L723" s="5">
        <f>_xlfn.XLOOKUP(D723,products!$A$1:$A$49,products!$E$1:$E$49,,0)</f>
        <v>2.9849999999999999</v>
      </c>
      <c r="M723">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_xlfn.XLOOKUP(orders!D724,products!$A$1:$A$49,products!$B$1:$B$49,,0)</f>
        <v>Exc</v>
      </c>
      <c r="J724" t="str">
        <f>_xlfn.XLOOKUP(D724,products!$A$1:$A$49,products!$C$1:$C$49,,0)</f>
        <v>D</v>
      </c>
      <c r="K724" s="13">
        <f>_xlfn.XLOOKUP(D724,products!$A$1:$A$49,products!$D$1:$D$49,,0)</f>
        <v>1</v>
      </c>
      <c r="L724" s="5">
        <f>_xlfn.XLOOKUP(D724,products!$A$1:$A$49,products!$E$1:$E$49,,0)</f>
        <v>12.15</v>
      </c>
      <c r="M724">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_xlfn.XLOOKUP(orders!D725,products!$A$1:$A$49,products!$B$1:$B$49,,0)</f>
        <v>Exc</v>
      </c>
      <c r="J725" t="str">
        <f>_xlfn.XLOOKUP(D725,products!$A$1:$A$49,products!$C$1:$C$49,,0)</f>
        <v>M</v>
      </c>
      <c r="K725" s="13">
        <f>_xlfn.XLOOKUP(D725,products!$A$1:$A$49,products!$D$1:$D$49,,0)</f>
        <v>2.5</v>
      </c>
      <c r="L725" s="5">
        <f>_xlfn.XLOOKUP(D725,products!$A$1:$A$49,products!$E$1:$E$49,,0)</f>
        <v>31.624999999999996</v>
      </c>
      <c r="M72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_xlfn.XLOOKUP(orders!D726,products!$A$1:$A$49,products!$B$1:$B$49,,0)</f>
        <v>Ara</v>
      </c>
      <c r="J726" t="str">
        <f>_xlfn.XLOOKUP(D726,products!$A$1:$A$49,products!$C$1:$C$49,,0)</f>
        <v>M</v>
      </c>
      <c r="K726" s="13">
        <f>_xlfn.XLOOKUP(D726,products!$A$1:$A$49,products!$D$1:$D$49,,0)</f>
        <v>0.2</v>
      </c>
      <c r="L726" s="5">
        <f>_xlfn.XLOOKUP(D726,products!$A$1:$A$49,products!$E$1:$E$49,,0)</f>
        <v>3.375</v>
      </c>
      <c r="M726">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_xlfn.XLOOKUP(orders!D727,products!$A$1:$A$49,products!$B$1:$B$49,,0)</f>
        <v>Ara</v>
      </c>
      <c r="J727" t="str">
        <f>_xlfn.XLOOKUP(D727,products!$A$1:$A$49,products!$C$1:$C$49,,0)</f>
        <v>L</v>
      </c>
      <c r="K727" s="13">
        <f>_xlfn.XLOOKUP(D727,products!$A$1:$A$49,products!$D$1:$D$49,,0)</f>
        <v>0.2</v>
      </c>
      <c r="L727" s="5">
        <f>_xlfn.XLOOKUP(D727,products!$A$1:$A$49,products!$E$1:$E$49,,0)</f>
        <v>3.8849999999999998</v>
      </c>
      <c r="M727">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_xlfn.XLOOKUP(orders!D728,products!$A$1:$A$49,products!$B$1:$B$49,,0)</f>
        <v>Lib</v>
      </c>
      <c r="J728" t="str">
        <f>_xlfn.XLOOKUP(D728,products!$A$1:$A$49,products!$C$1:$C$49,,0)</f>
        <v>L</v>
      </c>
      <c r="K728" s="13">
        <f>_xlfn.XLOOKUP(D728,products!$A$1:$A$49,products!$D$1:$D$49,,0)</f>
        <v>2.5</v>
      </c>
      <c r="L728" s="5">
        <f>_xlfn.XLOOKUP(D728,products!$A$1:$A$49,products!$E$1:$E$49,,0)</f>
        <v>36.454999999999998</v>
      </c>
      <c r="M728">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_xlfn.XLOOKUP(orders!D729,products!$A$1:$A$49,products!$B$1:$B$49,,0)</f>
        <v>Rob</v>
      </c>
      <c r="J729" t="str">
        <f>_xlfn.XLOOKUP(D729,products!$A$1:$A$49,products!$C$1:$C$49,,0)</f>
        <v>M</v>
      </c>
      <c r="K729" s="13">
        <f>_xlfn.XLOOKUP(D729,products!$A$1:$A$49,products!$D$1:$D$49,,0)</f>
        <v>0.5</v>
      </c>
      <c r="L729" s="5">
        <f>_xlfn.XLOOKUP(D729,products!$A$1:$A$49,products!$E$1:$E$49,,0)</f>
        <v>5.97</v>
      </c>
      <c r="M729">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_xlfn.XLOOKUP(orders!D730,products!$A$1:$A$49,products!$B$1:$B$49,,0)</f>
        <v>Exc</v>
      </c>
      <c r="J730" t="str">
        <f>_xlfn.XLOOKUP(D730,products!$A$1:$A$49,products!$C$1:$C$49,,0)</f>
        <v>D</v>
      </c>
      <c r="K730" s="13">
        <f>_xlfn.XLOOKUP(D730,products!$A$1:$A$49,products!$D$1:$D$49,,0)</f>
        <v>0.5</v>
      </c>
      <c r="L730" s="5">
        <f>_xlfn.XLOOKUP(D730,products!$A$1:$A$49,products!$E$1:$E$49,,0)</f>
        <v>7.29</v>
      </c>
      <c r="M730">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_xlfn.XLOOKUP(orders!D731,products!$A$1:$A$49,products!$B$1:$B$49,,0)</f>
        <v>Lib</v>
      </c>
      <c r="J731" t="str">
        <f>_xlfn.XLOOKUP(D731,products!$A$1:$A$49,products!$C$1:$C$49,,0)</f>
        <v>M</v>
      </c>
      <c r="K731" s="13">
        <f>_xlfn.XLOOKUP(D731,products!$A$1:$A$49,products!$D$1:$D$49,,0)</f>
        <v>0.2</v>
      </c>
      <c r="L731" s="5">
        <f>_xlfn.XLOOKUP(D731,products!$A$1:$A$49,products!$E$1:$E$49,,0)</f>
        <v>4.3650000000000002</v>
      </c>
      <c r="M731">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_xlfn.XLOOKUP(orders!D732,products!$A$1:$A$49,products!$B$1:$B$49,,0)</f>
        <v>Lib</v>
      </c>
      <c r="J732" t="str">
        <f>_xlfn.XLOOKUP(D732,products!$A$1:$A$49,products!$C$1:$C$49,,0)</f>
        <v>L</v>
      </c>
      <c r="K732" s="13">
        <f>_xlfn.XLOOKUP(D732,products!$A$1:$A$49,products!$D$1:$D$49,,0)</f>
        <v>2.5</v>
      </c>
      <c r="L732" s="5">
        <f>_xlfn.XLOOKUP(D732,products!$A$1:$A$49,products!$E$1:$E$49,,0)</f>
        <v>36.454999999999998</v>
      </c>
      <c r="M732">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_xlfn.XLOOKUP(orders!D733,products!$A$1:$A$49,products!$B$1:$B$49,,0)</f>
        <v>Lib</v>
      </c>
      <c r="J733" t="str">
        <f>_xlfn.XLOOKUP(D733,products!$A$1:$A$49,products!$C$1:$C$49,,0)</f>
        <v>D</v>
      </c>
      <c r="K733" s="13">
        <f>_xlfn.XLOOKUP(D733,products!$A$1:$A$49,products!$D$1:$D$49,,0)</f>
        <v>0.2</v>
      </c>
      <c r="L733" s="5">
        <f>_xlfn.XLOOKUP(D733,products!$A$1:$A$49,products!$E$1:$E$49,,0)</f>
        <v>3.8849999999999998</v>
      </c>
      <c r="M733">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_xlfn.XLOOKUP(orders!D734,products!$A$1:$A$49,products!$B$1:$B$49,,0)</f>
        <v>Exc</v>
      </c>
      <c r="J734" t="str">
        <f>_xlfn.XLOOKUP(D734,products!$A$1:$A$49,products!$C$1:$C$49,,0)</f>
        <v>L</v>
      </c>
      <c r="K734" s="13">
        <f>_xlfn.XLOOKUP(D734,products!$A$1:$A$49,products!$D$1:$D$49,,0)</f>
        <v>0.2</v>
      </c>
      <c r="L734" s="5">
        <f>_xlfn.XLOOKUP(D734,products!$A$1:$A$49,products!$E$1:$E$49,,0)</f>
        <v>4.4550000000000001</v>
      </c>
      <c r="M734">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_xlfn.XLOOKUP(orders!D735,products!$A$1:$A$49,products!$B$1:$B$49,,0)</f>
        <v>Lib</v>
      </c>
      <c r="J735" t="str">
        <f>_xlfn.XLOOKUP(D735,products!$A$1:$A$49,products!$C$1:$C$49,,0)</f>
        <v>M</v>
      </c>
      <c r="K735" s="13">
        <f>_xlfn.XLOOKUP(D735,products!$A$1:$A$49,products!$D$1:$D$49,,0)</f>
        <v>2.5</v>
      </c>
      <c r="L735" s="5">
        <f>_xlfn.XLOOKUP(D735,products!$A$1:$A$49,products!$E$1:$E$49,,0)</f>
        <v>33.464999999999996</v>
      </c>
      <c r="M73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_xlfn.XLOOKUP(orders!D736,products!$A$1:$A$49,products!$B$1:$B$49,,0)</f>
        <v>Rob</v>
      </c>
      <c r="J736" t="str">
        <f>_xlfn.XLOOKUP(D736,products!$A$1:$A$49,products!$C$1:$C$49,,0)</f>
        <v>D</v>
      </c>
      <c r="K736" s="13">
        <f>_xlfn.XLOOKUP(D736,products!$A$1:$A$49,products!$D$1:$D$49,,0)</f>
        <v>0.2</v>
      </c>
      <c r="L736" s="5">
        <f>_xlfn.XLOOKUP(D736,products!$A$1:$A$49,products!$E$1:$E$49,,0)</f>
        <v>2.6849999999999996</v>
      </c>
      <c r="M736">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_xlfn.XLOOKUP(orders!D737,products!$A$1:$A$49,products!$B$1:$B$49,,0)</f>
        <v>Exc</v>
      </c>
      <c r="J737" t="str">
        <f>_xlfn.XLOOKUP(D737,products!$A$1:$A$49,products!$C$1:$C$49,,0)</f>
        <v>D</v>
      </c>
      <c r="K737" s="13">
        <f>_xlfn.XLOOKUP(D737,products!$A$1:$A$49,products!$D$1:$D$49,,0)</f>
        <v>0.2</v>
      </c>
      <c r="L737" s="5">
        <f>_xlfn.XLOOKUP(D737,products!$A$1:$A$49,products!$E$1:$E$49,,0)</f>
        <v>3.645</v>
      </c>
      <c r="M737">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_xlfn.XLOOKUP(orders!D738,products!$A$1:$A$49,products!$B$1:$B$49,,0)</f>
        <v>Lib</v>
      </c>
      <c r="J738" t="str">
        <f>_xlfn.XLOOKUP(D738,products!$A$1:$A$49,products!$C$1:$C$49,,0)</f>
        <v>D</v>
      </c>
      <c r="K738" s="13">
        <f>_xlfn.XLOOKUP(D738,products!$A$1:$A$49,products!$D$1:$D$49,,0)</f>
        <v>1</v>
      </c>
      <c r="L738" s="5">
        <f>_xlfn.XLOOKUP(D738,products!$A$1:$A$49,products!$E$1:$E$49,,0)</f>
        <v>12.95</v>
      </c>
      <c r="M738">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_xlfn.XLOOKUP(orders!D739,products!$A$1:$A$49,products!$B$1:$B$49,,0)</f>
        <v>Ara</v>
      </c>
      <c r="J739" t="str">
        <f>_xlfn.XLOOKUP(D739,products!$A$1:$A$49,products!$C$1:$C$49,,0)</f>
        <v>M</v>
      </c>
      <c r="K739" s="13">
        <f>_xlfn.XLOOKUP(D739,products!$A$1:$A$49,products!$D$1:$D$49,,0)</f>
        <v>1</v>
      </c>
      <c r="L739" s="5">
        <f>_xlfn.XLOOKUP(D739,products!$A$1:$A$49,products!$E$1:$E$49,,0)</f>
        <v>11.25</v>
      </c>
      <c r="M739">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_xlfn.XLOOKUP(orders!D740,products!$A$1:$A$49,products!$B$1:$B$49,,0)</f>
        <v>Rob</v>
      </c>
      <c r="J740" t="str">
        <f>_xlfn.XLOOKUP(D740,products!$A$1:$A$49,products!$C$1:$C$49,,0)</f>
        <v>L</v>
      </c>
      <c r="K740" s="13">
        <f>_xlfn.XLOOKUP(D740,products!$A$1:$A$49,products!$D$1:$D$49,,0)</f>
        <v>0.2</v>
      </c>
      <c r="L740" s="5">
        <f>_xlfn.XLOOKUP(D740,products!$A$1:$A$49,products!$E$1:$E$49,,0)</f>
        <v>3.5849999999999995</v>
      </c>
      <c r="M740">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_xlfn.XLOOKUP(orders!D741,products!$A$1:$A$49,products!$B$1:$B$49,,0)</f>
        <v>Exc</v>
      </c>
      <c r="J741" t="str">
        <f>_xlfn.XLOOKUP(D741,products!$A$1:$A$49,products!$C$1:$C$49,,0)</f>
        <v>D</v>
      </c>
      <c r="K741" s="13">
        <f>_xlfn.XLOOKUP(D741,products!$A$1:$A$49,products!$D$1:$D$49,,0)</f>
        <v>0.2</v>
      </c>
      <c r="L741" s="5">
        <f>_xlfn.XLOOKUP(D741,products!$A$1:$A$49,products!$E$1:$E$49,,0)</f>
        <v>3.645</v>
      </c>
      <c r="M741">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_xlfn.XLOOKUP(orders!D742,products!$A$1:$A$49,products!$B$1:$B$49,,0)</f>
        <v>Rob</v>
      </c>
      <c r="J742" t="str">
        <f>_xlfn.XLOOKUP(D742,products!$A$1:$A$49,products!$C$1:$C$49,,0)</f>
        <v>L</v>
      </c>
      <c r="K742" s="13">
        <f>_xlfn.XLOOKUP(D742,products!$A$1:$A$49,products!$D$1:$D$49,,0)</f>
        <v>0.5</v>
      </c>
      <c r="L742" s="5">
        <f>_xlfn.XLOOKUP(D742,products!$A$1:$A$49,products!$E$1:$E$49,,0)</f>
        <v>7.169999999999999</v>
      </c>
      <c r="M742">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_xlfn.XLOOKUP(orders!D743,products!$A$1:$A$49,products!$B$1:$B$49,,0)</f>
        <v>Lib</v>
      </c>
      <c r="J743" t="str">
        <f>_xlfn.XLOOKUP(D743,products!$A$1:$A$49,products!$C$1:$C$49,,0)</f>
        <v>M</v>
      </c>
      <c r="K743" s="13">
        <f>_xlfn.XLOOKUP(D743,products!$A$1:$A$49,products!$D$1:$D$49,,0)</f>
        <v>0.2</v>
      </c>
      <c r="L743" s="5">
        <f>_xlfn.XLOOKUP(D743,products!$A$1:$A$49,products!$E$1:$E$49,,0)</f>
        <v>4.3650000000000002</v>
      </c>
      <c r="M743">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_xlfn.XLOOKUP(orders!D744,products!$A$1:$A$49,products!$B$1:$B$49,,0)</f>
        <v>Lib</v>
      </c>
      <c r="J744" t="str">
        <f>_xlfn.XLOOKUP(D744,products!$A$1:$A$49,products!$C$1:$C$49,,0)</f>
        <v>M</v>
      </c>
      <c r="K744" s="13">
        <f>_xlfn.XLOOKUP(D744,products!$A$1:$A$49,products!$D$1:$D$49,,0)</f>
        <v>1</v>
      </c>
      <c r="L744" s="5">
        <f>_xlfn.XLOOKUP(D744,products!$A$1:$A$49,products!$E$1:$E$49,,0)</f>
        <v>14.55</v>
      </c>
      <c r="M744">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_xlfn.XLOOKUP(orders!D745,products!$A$1:$A$49,products!$B$1:$B$49,,0)</f>
        <v>Ara</v>
      </c>
      <c r="J745" t="str">
        <f>_xlfn.XLOOKUP(D745,products!$A$1:$A$49,products!$C$1:$C$49,,0)</f>
        <v>D</v>
      </c>
      <c r="K745" s="13">
        <f>_xlfn.XLOOKUP(D745,products!$A$1:$A$49,products!$D$1:$D$49,,0)</f>
        <v>0.5</v>
      </c>
      <c r="L745" s="5">
        <f>_xlfn.XLOOKUP(D745,products!$A$1:$A$49,products!$E$1:$E$49,,0)</f>
        <v>5.97</v>
      </c>
      <c r="M74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_xlfn.XLOOKUP(orders!D746,products!$A$1:$A$49,products!$B$1:$B$49,,0)</f>
        <v>Rob</v>
      </c>
      <c r="J746" t="str">
        <f>_xlfn.XLOOKUP(D746,products!$A$1:$A$49,products!$C$1:$C$49,,0)</f>
        <v>M</v>
      </c>
      <c r="K746" s="13">
        <f>_xlfn.XLOOKUP(D746,products!$A$1:$A$49,products!$D$1:$D$49,,0)</f>
        <v>0.2</v>
      </c>
      <c r="L746" s="5">
        <f>_xlfn.XLOOKUP(D746,products!$A$1:$A$49,products!$E$1:$E$49,,0)</f>
        <v>2.9849999999999999</v>
      </c>
      <c r="M746">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_xlfn.XLOOKUP(orders!D747,products!$A$1:$A$49,products!$B$1:$B$49,,0)</f>
        <v>Exc</v>
      </c>
      <c r="J747" t="str">
        <f>_xlfn.XLOOKUP(D747,products!$A$1:$A$49,products!$C$1:$C$49,,0)</f>
        <v>D</v>
      </c>
      <c r="K747" s="13">
        <f>_xlfn.XLOOKUP(D747,products!$A$1:$A$49,products!$D$1:$D$49,,0)</f>
        <v>0.5</v>
      </c>
      <c r="L747" s="5">
        <f>_xlfn.XLOOKUP(D747,products!$A$1:$A$49,products!$E$1:$E$49,,0)</f>
        <v>7.29</v>
      </c>
      <c r="M747">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_xlfn.XLOOKUP(orders!D748,products!$A$1:$A$49,products!$B$1:$B$49,,0)</f>
        <v>Ara</v>
      </c>
      <c r="J748" t="str">
        <f>_xlfn.XLOOKUP(D748,products!$A$1:$A$49,products!$C$1:$C$49,,0)</f>
        <v>M</v>
      </c>
      <c r="K748" s="13">
        <f>_xlfn.XLOOKUP(D748,products!$A$1:$A$49,products!$D$1:$D$49,,0)</f>
        <v>1</v>
      </c>
      <c r="L748" s="5">
        <f>_xlfn.XLOOKUP(D748,products!$A$1:$A$49,products!$E$1:$E$49,,0)</f>
        <v>11.25</v>
      </c>
      <c r="M748">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_xlfn.XLOOKUP(orders!D749,products!$A$1:$A$49,products!$B$1:$B$49,,0)</f>
        <v>Lib</v>
      </c>
      <c r="J749" t="str">
        <f>_xlfn.XLOOKUP(D749,products!$A$1:$A$49,products!$C$1:$C$49,,0)</f>
        <v>M</v>
      </c>
      <c r="K749" s="13">
        <f>_xlfn.XLOOKUP(D749,products!$A$1:$A$49,products!$D$1:$D$49,,0)</f>
        <v>0.5</v>
      </c>
      <c r="L749" s="5">
        <f>_xlfn.XLOOKUP(D749,products!$A$1:$A$49,products!$E$1:$E$49,,0)</f>
        <v>8.73</v>
      </c>
      <c r="M749">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_xlfn.XLOOKUP(orders!D750,products!$A$1:$A$49,products!$B$1:$B$49,,0)</f>
        <v>Exc</v>
      </c>
      <c r="J750" t="str">
        <f>_xlfn.XLOOKUP(D750,products!$A$1:$A$49,products!$C$1:$C$49,,0)</f>
        <v>D</v>
      </c>
      <c r="K750" s="13">
        <f>_xlfn.XLOOKUP(D750,products!$A$1:$A$49,products!$D$1:$D$49,,0)</f>
        <v>0.5</v>
      </c>
      <c r="L750" s="5">
        <f>_xlfn.XLOOKUP(D750,products!$A$1:$A$49,products!$E$1:$E$49,,0)</f>
        <v>7.29</v>
      </c>
      <c r="M750">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_xlfn.XLOOKUP(orders!D751,products!$A$1:$A$49,products!$B$1:$B$49,,0)</f>
        <v>Rob</v>
      </c>
      <c r="J751" t="str">
        <f>_xlfn.XLOOKUP(D751,products!$A$1:$A$49,products!$C$1:$C$49,,0)</f>
        <v>D</v>
      </c>
      <c r="K751" s="13">
        <f>_xlfn.XLOOKUP(D751,products!$A$1:$A$49,products!$D$1:$D$49,,0)</f>
        <v>0.2</v>
      </c>
      <c r="L751" s="5">
        <f>_xlfn.XLOOKUP(D751,products!$A$1:$A$49,products!$E$1:$E$49,,0)</f>
        <v>2.6849999999999996</v>
      </c>
      <c r="M751">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_xlfn.XLOOKUP(orders!D752,products!$A$1:$A$49,products!$B$1:$B$49,,0)</f>
        <v>Rob</v>
      </c>
      <c r="J752" t="str">
        <f>_xlfn.XLOOKUP(D752,products!$A$1:$A$49,products!$C$1:$C$49,,0)</f>
        <v>M</v>
      </c>
      <c r="K752" s="13">
        <f>_xlfn.XLOOKUP(D752,products!$A$1:$A$49,products!$D$1:$D$49,,0)</f>
        <v>0.5</v>
      </c>
      <c r="L752" s="5">
        <f>_xlfn.XLOOKUP(D752,products!$A$1:$A$49,products!$E$1:$E$49,,0)</f>
        <v>5.97</v>
      </c>
      <c r="M752">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_xlfn.XLOOKUP(orders!D753,products!$A$1:$A$49,products!$B$1:$B$49,,0)</f>
        <v>Lib</v>
      </c>
      <c r="J753" t="str">
        <f>_xlfn.XLOOKUP(D753,products!$A$1:$A$49,products!$C$1:$C$49,,0)</f>
        <v>L</v>
      </c>
      <c r="K753" s="13">
        <f>_xlfn.XLOOKUP(D753,products!$A$1:$A$49,products!$D$1:$D$49,,0)</f>
        <v>0.5</v>
      </c>
      <c r="L753" s="5">
        <f>_xlfn.XLOOKUP(D753,products!$A$1:$A$49,products!$E$1:$E$49,,0)</f>
        <v>9.51</v>
      </c>
      <c r="M753">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_xlfn.XLOOKUP(orders!D754,products!$A$1:$A$49,products!$B$1:$B$49,,0)</f>
        <v>Exc</v>
      </c>
      <c r="J754" t="str">
        <f>_xlfn.XLOOKUP(D754,products!$A$1:$A$49,products!$C$1:$C$49,,0)</f>
        <v>M</v>
      </c>
      <c r="K754" s="13">
        <f>_xlfn.XLOOKUP(D754,products!$A$1:$A$49,products!$D$1:$D$49,,0)</f>
        <v>1</v>
      </c>
      <c r="L754" s="5">
        <f>_xlfn.XLOOKUP(D754,products!$A$1:$A$49,products!$E$1:$E$49,,0)</f>
        <v>13.75</v>
      </c>
      <c r="M754">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_xlfn.XLOOKUP(orders!D755,products!$A$1:$A$49,products!$B$1:$B$49,,0)</f>
        <v>Ara</v>
      </c>
      <c r="J755" t="str">
        <f>_xlfn.XLOOKUP(D755,products!$A$1:$A$49,products!$C$1:$C$49,,0)</f>
        <v>D</v>
      </c>
      <c r="K755" s="13">
        <f>_xlfn.XLOOKUP(D755,products!$A$1:$A$49,products!$D$1:$D$49,,0)</f>
        <v>0.5</v>
      </c>
      <c r="L755" s="5">
        <f>_xlfn.XLOOKUP(D755,products!$A$1:$A$49,products!$E$1:$E$49,,0)</f>
        <v>5.97</v>
      </c>
      <c r="M75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_xlfn.XLOOKUP(orders!D756,products!$A$1:$A$49,products!$B$1:$B$49,,0)</f>
        <v>Ara</v>
      </c>
      <c r="J756" t="str">
        <f>_xlfn.XLOOKUP(D756,products!$A$1:$A$49,products!$C$1:$C$49,,0)</f>
        <v>D</v>
      </c>
      <c r="K756" s="13">
        <f>_xlfn.XLOOKUP(D756,products!$A$1:$A$49,products!$D$1:$D$49,,0)</f>
        <v>0.2</v>
      </c>
      <c r="L756" s="5">
        <f>_xlfn.XLOOKUP(D756,products!$A$1:$A$49,products!$E$1:$E$49,,0)</f>
        <v>2.9849999999999999</v>
      </c>
      <c r="M756">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_xlfn.XLOOKUP(orders!D757,products!$A$1:$A$49,products!$B$1:$B$49,,0)</f>
        <v>Lib</v>
      </c>
      <c r="J757" t="str">
        <f>_xlfn.XLOOKUP(D757,products!$A$1:$A$49,products!$C$1:$C$49,,0)</f>
        <v>L</v>
      </c>
      <c r="K757" s="13">
        <f>_xlfn.XLOOKUP(D757,products!$A$1:$A$49,products!$D$1:$D$49,,0)</f>
        <v>0.2</v>
      </c>
      <c r="L757" s="5">
        <f>_xlfn.XLOOKUP(D757,products!$A$1:$A$49,products!$E$1:$E$49,,0)</f>
        <v>4.7549999999999999</v>
      </c>
      <c r="M757">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_xlfn.XLOOKUP(orders!D758,products!$A$1:$A$49,products!$B$1:$B$49,,0)</f>
        <v>Rob</v>
      </c>
      <c r="J758" t="str">
        <f>_xlfn.XLOOKUP(D758,products!$A$1:$A$49,products!$C$1:$C$49,,0)</f>
        <v>D</v>
      </c>
      <c r="K758" s="13">
        <f>_xlfn.XLOOKUP(D758,products!$A$1:$A$49,products!$D$1:$D$49,,0)</f>
        <v>1</v>
      </c>
      <c r="L758" s="5">
        <f>_xlfn.XLOOKUP(D758,products!$A$1:$A$49,products!$E$1:$E$49,,0)</f>
        <v>8.9499999999999993</v>
      </c>
      <c r="M758">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_xlfn.XLOOKUP(orders!D759,products!$A$1:$A$49,products!$B$1:$B$49,,0)</f>
        <v>Ara</v>
      </c>
      <c r="J759" t="str">
        <f>_xlfn.XLOOKUP(D759,products!$A$1:$A$49,products!$C$1:$C$49,,0)</f>
        <v>D</v>
      </c>
      <c r="K759" s="13">
        <f>_xlfn.XLOOKUP(D759,products!$A$1:$A$49,products!$D$1:$D$49,,0)</f>
        <v>0.5</v>
      </c>
      <c r="L759" s="5">
        <f>_xlfn.XLOOKUP(D759,products!$A$1:$A$49,products!$E$1:$E$49,,0)</f>
        <v>5.97</v>
      </c>
      <c r="M759">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_xlfn.XLOOKUP(orders!D760,products!$A$1:$A$49,products!$B$1:$B$49,,0)</f>
        <v>Rob</v>
      </c>
      <c r="J760" t="str">
        <f>_xlfn.XLOOKUP(D760,products!$A$1:$A$49,products!$C$1:$C$49,,0)</f>
        <v>D</v>
      </c>
      <c r="K760" s="13">
        <f>_xlfn.XLOOKUP(D760,products!$A$1:$A$49,products!$D$1:$D$49,,0)</f>
        <v>1</v>
      </c>
      <c r="L760" s="5">
        <f>_xlfn.XLOOKUP(D760,products!$A$1:$A$49,products!$E$1:$E$49,,0)</f>
        <v>8.9499999999999993</v>
      </c>
      <c r="M760">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_xlfn.XLOOKUP(orders!D761,products!$A$1:$A$49,products!$B$1:$B$49,,0)</f>
        <v>Lib</v>
      </c>
      <c r="J761" t="str">
        <f>_xlfn.XLOOKUP(D761,products!$A$1:$A$49,products!$C$1:$C$49,,0)</f>
        <v>D</v>
      </c>
      <c r="K761" s="13">
        <f>_xlfn.XLOOKUP(D761,products!$A$1:$A$49,products!$D$1:$D$49,,0)</f>
        <v>2.5</v>
      </c>
      <c r="L761" s="5">
        <f>_xlfn.XLOOKUP(D761,products!$A$1:$A$49,products!$E$1:$E$49,,0)</f>
        <v>29.784999999999997</v>
      </c>
      <c r="M761">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_xlfn.XLOOKUP(orders!D762,products!$A$1:$A$49,products!$B$1:$B$49,,0)</f>
        <v>Exc</v>
      </c>
      <c r="J762" t="str">
        <f>_xlfn.XLOOKUP(D762,products!$A$1:$A$49,products!$C$1:$C$49,,0)</f>
        <v>L</v>
      </c>
      <c r="K762" s="13">
        <f>_xlfn.XLOOKUP(D762,products!$A$1:$A$49,products!$D$1:$D$49,,0)</f>
        <v>0.5</v>
      </c>
      <c r="L762" s="5">
        <f>_xlfn.XLOOKUP(D762,products!$A$1:$A$49,products!$E$1:$E$49,,0)</f>
        <v>8.91</v>
      </c>
      <c r="M762">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_xlfn.XLOOKUP(orders!D763,products!$A$1:$A$49,products!$B$1:$B$49,,0)</f>
        <v>Exc</v>
      </c>
      <c r="J763" t="str">
        <f>_xlfn.XLOOKUP(D763,products!$A$1:$A$49,products!$C$1:$C$49,,0)</f>
        <v>L</v>
      </c>
      <c r="K763" s="13">
        <f>_xlfn.XLOOKUP(D763,products!$A$1:$A$49,products!$D$1:$D$49,,0)</f>
        <v>1</v>
      </c>
      <c r="L763" s="5">
        <f>_xlfn.XLOOKUP(D763,products!$A$1:$A$49,products!$E$1:$E$49,,0)</f>
        <v>14.85</v>
      </c>
      <c r="M763">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_xlfn.XLOOKUP(orders!D764,products!$A$1:$A$49,products!$B$1:$B$49,,0)</f>
        <v>Lib</v>
      </c>
      <c r="J764" t="str">
        <f>_xlfn.XLOOKUP(D764,products!$A$1:$A$49,products!$C$1:$C$49,,0)</f>
        <v>M</v>
      </c>
      <c r="K764" s="13">
        <f>_xlfn.XLOOKUP(D764,products!$A$1:$A$49,products!$D$1:$D$49,,0)</f>
        <v>0.5</v>
      </c>
      <c r="L764" s="5">
        <f>_xlfn.XLOOKUP(D764,products!$A$1:$A$49,products!$E$1:$E$49,,0)</f>
        <v>8.73</v>
      </c>
      <c r="M764">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_xlfn.XLOOKUP(orders!D765,products!$A$1:$A$49,products!$B$1:$B$49,,0)</f>
        <v>Ara</v>
      </c>
      <c r="J765" t="str">
        <f>_xlfn.XLOOKUP(D765,products!$A$1:$A$49,products!$C$1:$C$49,,0)</f>
        <v>L</v>
      </c>
      <c r="K765" s="13">
        <f>_xlfn.XLOOKUP(D765,products!$A$1:$A$49,products!$D$1:$D$49,,0)</f>
        <v>0.5</v>
      </c>
      <c r="L765" s="5">
        <f>_xlfn.XLOOKUP(D765,products!$A$1:$A$49,products!$E$1:$E$49,,0)</f>
        <v>7.77</v>
      </c>
      <c r="M76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_xlfn.XLOOKUP(orders!D766,products!$A$1:$A$49,products!$B$1:$B$49,,0)</f>
        <v>Ara</v>
      </c>
      <c r="J766" t="str">
        <f>_xlfn.XLOOKUP(D766,products!$A$1:$A$49,products!$C$1:$C$49,,0)</f>
        <v>L</v>
      </c>
      <c r="K766" s="13">
        <f>_xlfn.XLOOKUP(D766,products!$A$1:$A$49,products!$D$1:$D$49,,0)</f>
        <v>2.5</v>
      </c>
      <c r="L766" s="5">
        <f>_xlfn.XLOOKUP(D766,products!$A$1:$A$49,products!$E$1:$E$49,,0)</f>
        <v>29.784999999999997</v>
      </c>
      <c r="M766">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_xlfn.XLOOKUP(orders!D767,products!$A$1:$A$49,products!$B$1:$B$49,,0)</f>
        <v>Rob</v>
      </c>
      <c r="J767" t="str">
        <f>_xlfn.XLOOKUP(D767,products!$A$1:$A$49,products!$C$1:$C$49,,0)</f>
        <v>M</v>
      </c>
      <c r="K767" s="13">
        <f>_xlfn.XLOOKUP(D767,products!$A$1:$A$49,products!$D$1:$D$49,,0)</f>
        <v>1</v>
      </c>
      <c r="L767" s="5">
        <f>_xlfn.XLOOKUP(D767,products!$A$1:$A$49,products!$E$1:$E$49,,0)</f>
        <v>9.9499999999999993</v>
      </c>
      <c r="M767">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_xlfn.XLOOKUP(orders!D768,products!$A$1:$A$49,products!$B$1:$B$49,,0)</f>
        <v>Ara</v>
      </c>
      <c r="J768" t="str">
        <f>_xlfn.XLOOKUP(D768,products!$A$1:$A$49,products!$C$1:$C$49,,0)</f>
        <v>L</v>
      </c>
      <c r="K768" s="13">
        <f>_xlfn.XLOOKUP(D768,products!$A$1:$A$49,products!$D$1:$D$49,,0)</f>
        <v>0.5</v>
      </c>
      <c r="L768" s="5">
        <f>_xlfn.XLOOKUP(D768,products!$A$1:$A$49,products!$E$1:$E$49,,0)</f>
        <v>7.77</v>
      </c>
      <c r="M768">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_xlfn.XLOOKUP(orders!D769,products!$A$1:$A$49,products!$B$1:$B$49,,0)</f>
        <v>Ara</v>
      </c>
      <c r="J769" t="str">
        <f>_xlfn.XLOOKUP(D769,products!$A$1:$A$49,products!$C$1:$C$49,,0)</f>
        <v>L</v>
      </c>
      <c r="K769" s="13">
        <f>_xlfn.XLOOKUP(D769,products!$A$1:$A$49,products!$D$1:$D$49,,0)</f>
        <v>2.5</v>
      </c>
      <c r="L769" s="5">
        <f>_xlfn.XLOOKUP(D769,products!$A$1:$A$49,products!$E$1:$E$49,,0)</f>
        <v>29.784999999999997</v>
      </c>
      <c r="M769">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_xlfn.XLOOKUP(orders!D770,products!$A$1:$A$49,products!$B$1:$B$49,,0)</f>
        <v>Rob</v>
      </c>
      <c r="J770" t="str">
        <f>_xlfn.XLOOKUP(D770,products!$A$1:$A$49,products!$C$1:$C$49,,0)</f>
        <v>L</v>
      </c>
      <c r="K770" s="13">
        <f>_xlfn.XLOOKUP(D770,products!$A$1:$A$49,products!$D$1:$D$49,,0)</f>
        <v>1</v>
      </c>
      <c r="L770" s="5">
        <f>_xlfn.XLOOKUP(D770,products!$A$1:$A$49,products!$E$1:$E$49,,0)</f>
        <v>11.95</v>
      </c>
      <c r="M770">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_xlfn.XLOOKUP(orders!D771,products!$A$1:$A$49,products!$B$1:$B$49,,0)</f>
        <v>Rob</v>
      </c>
      <c r="J771" t="str">
        <f>_xlfn.XLOOKUP(D771,products!$A$1:$A$49,products!$C$1:$C$49,,0)</f>
        <v>M</v>
      </c>
      <c r="K771" s="13">
        <f>_xlfn.XLOOKUP(D771,products!$A$1:$A$49,products!$D$1:$D$49,,0)</f>
        <v>2.5</v>
      </c>
      <c r="L771" s="5">
        <f>_xlfn.XLOOKUP(D771,products!$A$1:$A$49,products!$E$1:$E$49,,0)</f>
        <v>22.884999999999998</v>
      </c>
      <c r="M771">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_xlfn.XLOOKUP(orders!D772,products!$A$1:$A$49,products!$B$1:$B$49,,0)</f>
        <v>Ara</v>
      </c>
      <c r="J772" t="str">
        <f>_xlfn.XLOOKUP(D772,products!$A$1:$A$49,products!$C$1:$C$49,,0)</f>
        <v>D</v>
      </c>
      <c r="K772" s="13">
        <f>_xlfn.XLOOKUP(D772,products!$A$1:$A$49,products!$D$1:$D$49,,0)</f>
        <v>1</v>
      </c>
      <c r="L772" s="5">
        <f>_xlfn.XLOOKUP(D772,products!$A$1:$A$49,products!$E$1:$E$49,,0)</f>
        <v>9.9499999999999993</v>
      </c>
      <c r="M772">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_xlfn.XLOOKUP(orders!D773,products!$A$1:$A$49,products!$B$1:$B$49,,0)</f>
        <v>Rob</v>
      </c>
      <c r="J773" t="str">
        <f>_xlfn.XLOOKUP(D773,products!$A$1:$A$49,products!$C$1:$C$49,,0)</f>
        <v>L</v>
      </c>
      <c r="K773" s="13">
        <f>_xlfn.XLOOKUP(D773,products!$A$1:$A$49,products!$D$1:$D$49,,0)</f>
        <v>0.5</v>
      </c>
      <c r="L773" s="5">
        <f>_xlfn.XLOOKUP(D773,products!$A$1:$A$49,products!$E$1:$E$49,,0)</f>
        <v>7.169999999999999</v>
      </c>
      <c r="M773">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_xlfn.XLOOKUP(orders!D774,products!$A$1:$A$49,products!$B$1:$B$49,,0)</f>
        <v>Exc</v>
      </c>
      <c r="J774" t="str">
        <f>_xlfn.XLOOKUP(D774,products!$A$1:$A$49,products!$C$1:$C$49,,0)</f>
        <v>M</v>
      </c>
      <c r="K774" s="13">
        <f>_xlfn.XLOOKUP(D774,products!$A$1:$A$49,products!$D$1:$D$49,,0)</f>
        <v>1</v>
      </c>
      <c r="L774" s="5">
        <f>_xlfn.XLOOKUP(D774,products!$A$1:$A$49,products!$E$1:$E$49,,0)</f>
        <v>13.75</v>
      </c>
      <c r="M774">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_xlfn.XLOOKUP(orders!D775,products!$A$1:$A$49,products!$B$1:$B$49,,0)</f>
        <v>Lib</v>
      </c>
      <c r="J775" t="str">
        <f>_xlfn.XLOOKUP(D775,products!$A$1:$A$49,products!$C$1:$C$49,,0)</f>
        <v>M</v>
      </c>
      <c r="K775" s="13">
        <f>_xlfn.XLOOKUP(D775,products!$A$1:$A$49,products!$D$1:$D$49,,0)</f>
        <v>0.2</v>
      </c>
      <c r="L775" s="5">
        <f>_xlfn.XLOOKUP(D775,products!$A$1:$A$49,products!$E$1:$E$49,,0)</f>
        <v>4.3650000000000002</v>
      </c>
      <c r="M77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_xlfn.XLOOKUP(orders!D776,products!$A$1:$A$49,products!$B$1:$B$49,,0)</f>
        <v>Rob</v>
      </c>
      <c r="J776" t="str">
        <f>_xlfn.XLOOKUP(D776,products!$A$1:$A$49,products!$C$1:$C$49,,0)</f>
        <v>M</v>
      </c>
      <c r="K776" s="13">
        <f>_xlfn.XLOOKUP(D776,products!$A$1:$A$49,products!$D$1:$D$49,,0)</f>
        <v>1</v>
      </c>
      <c r="L776" s="5">
        <f>_xlfn.XLOOKUP(D776,products!$A$1:$A$49,products!$E$1:$E$49,,0)</f>
        <v>9.9499999999999993</v>
      </c>
      <c r="M776">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_xlfn.XLOOKUP(orders!D777,products!$A$1:$A$49,products!$B$1:$B$49,,0)</f>
        <v>Exc</v>
      </c>
      <c r="J777" t="str">
        <f>_xlfn.XLOOKUP(D777,products!$A$1:$A$49,products!$C$1:$C$49,,0)</f>
        <v>L</v>
      </c>
      <c r="K777" s="13">
        <f>_xlfn.XLOOKUP(D777,products!$A$1:$A$49,products!$D$1:$D$49,,0)</f>
        <v>0.5</v>
      </c>
      <c r="L777" s="5">
        <f>_xlfn.XLOOKUP(D777,products!$A$1:$A$49,products!$E$1:$E$49,,0)</f>
        <v>8.91</v>
      </c>
      <c r="M777">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_xlfn.XLOOKUP(orders!D778,products!$A$1:$A$49,products!$B$1:$B$49,,0)</f>
        <v>Ara</v>
      </c>
      <c r="J778" t="str">
        <f>_xlfn.XLOOKUP(D778,products!$A$1:$A$49,products!$C$1:$C$49,,0)</f>
        <v>M</v>
      </c>
      <c r="K778" s="13">
        <f>_xlfn.XLOOKUP(D778,products!$A$1:$A$49,products!$D$1:$D$49,,0)</f>
        <v>0.5</v>
      </c>
      <c r="L778" s="5">
        <f>_xlfn.XLOOKUP(D778,products!$A$1:$A$49,products!$E$1:$E$49,,0)</f>
        <v>6.75</v>
      </c>
      <c r="M778">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_xlfn.XLOOKUP(orders!D779,products!$A$1:$A$49,products!$B$1:$B$49,,0)</f>
        <v>Ara</v>
      </c>
      <c r="J779" t="str">
        <f>_xlfn.XLOOKUP(D779,products!$A$1:$A$49,products!$C$1:$C$49,,0)</f>
        <v>L</v>
      </c>
      <c r="K779" s="13">
        <f>_xlfn.XLOOKUP(D779,products!$A$1:$A$49,products!$D$1:$D$49,,0)</f>
        <v>2.5</v>
      </c>
      <c r="L779" s="5">
        <f>_xlfn.XLOOKUP(D779,products!$A$1:$A$49,products!$E$1:$E$49,,0)</f>
        <v>29.784999999999997</v>
      </c>
      <c r="M779">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_xlfn.XLOOKUP(orders!D780,products!$A$1:$A$49,products!$B$1:$B$49,,0)</f>
        <v>Lib</v>
      </c>
      <c r="J780" t="str">
        <f>_xlfn.XLOOKUP(D780,products!$A$1:$A$49,products!$C$1:$C$49,,0)</f>
        <v>L</v>
      </c>
      <c r="K780" s="13">
        <f>_xlfn.XLOOKUP(D780,products!$A$1:$A$49,products!$D$1:$D$49,,0)</f>
        <v>0.5</v>
      </c>
      <c r="L780" s="5">
        <f>_xlfn.XLOOKUP(D780,products!$A$1:$A$49,products!$E$1:$E$49,,0)</f>
        <v>9.51</v>
      </c>
      <c r="M780">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_xlfn.XLOOKUP(orders!D781,products!$A$1:$A$49,products!$B$1:$B$49,,0)</f>
        <v>Lib</v>
      </c>
      <c r="J781" t="str">
        <f>_xlfn.XLOOKUP(D781,products!$A$1:$A$49,products!$C$1:$C$49,,0)</f>
        <v>D</v>
      </c>
      <c r="K781" s="13">
        <f>_xlfn.XLOOKUP(D781,products!$A$1:$A$49,products!$D$1:$D$49,,0)</f>
        <v>1</v>
      </c>
      <c r="L781" s="5">
        <f>_xlfn.XLOOKUP(D781,products!$A$1:$A$49,products!$E$1:$E$49,,0)</f>
        <v>12.95</v>
      </c>
      <c r="M781">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_xlfn.XLOOKUP(orders!D782,products!$A$1:$A$49,products!$B$1:$B$49,,0)</f>
        <v>Exc</v>
      </c>
      <c r="J782" t="str">
        <f>_xlfn.XLOOKUP(D782,products!$A$1:$A$49,products!$C$1:$C$49,,0)</f>
        <v>M</v>
      </c>
      <c r="K782" s="13">
        <f>_xlfn.XLOOKUP(D782,products!$A$1:$A$49,products!$D$1:$D$49,,0)</f>
        <v>1</v>
      </c>
      <c r="L782" s="5">
        <f>_xlfn.XLOOKUP(D782,products!$A$1:$A$49,products!$E$1:$E$49,,0)</f>
        <v>13.75</v>
      </c>
      <c r="M782">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_xlfn.XLOOKUP(orders!D783,products!$A$1:$A$49,products!$B$1:$B$49,,0)</f>
        <v>Lib</v>
      </c>
      <c r="J783" t="str">
        <f>_xlfn.XLOOKUP(D783,products!$A$1:$A$49,products!$C$1:$C$49,,0)</f>
        <v>L</v>
      </c>
      <c r="K783" s="13">
        <f>_xlfn.XLOOKUP(D783,products!$A$1:$A$49,products!$D$1:$D$49,,0)</f>
        <v>2.5</v>
      </c>
      <c r="L783" s="5">
        <f>_xlfn.XLOOKUP(D783,products!$A$1:$A$49,products!$E$1:$E$49,,0)</f>
        <v>36.454999999999998</v>
      </c>
      <c r="M783">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_xlfn.XLOOKUP(orders!D784,products!$A$1:$A$49,products!$B$1:$B$49,,0)</f>
        <v>Exc</v>
      </c>
      <c r="J784" t="str">
        <f>_xlfn.XLOOKUP(D784,products!$A$1:$A$49,products!$C$1:$C$49,,0)</f>
        <v>L</v>
      </c>
      <c r="K784" s="13">
        <f>_xlfn.XLOOKUP(D784,products!$A$1:$A$49,products!$D$1:$D$49,,0)</f>
        <v>0.2</v>
      </c>
      <c r="L784" s="5">
        <f>_xlfn.XLOOKUP(D784,products!$A$1:$A$49,products!$E$1:$E$49,,0)</f>
        <v>4.4550000000000001</v>
      </c>
      <c r="M784">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_xlfn.XLOOKUP(orders!D785,products!$A$1:$A$49,products!$B$1:$B$49,,0)</f>
        <v>Lib</v>
      </c>
      <c r="J785" t="str">
        <f>_xlfn.XLOOKUP(D785,products!$A$1:$A$49,products!$C$1:$C$49,,0)</f>
        <v>M</v>
      </c>
      <c r="K785" s="13">
        <f>_xlfn.XLOOKUP(D785,products!$A$1:$A$49,products!$D$1:$D$49,,0)</f>
        <v>0.5</v>
      </c>
      <c r="L785" s="5">
        <f>_xlfn.XLOOKUP(D785,products!$A$1:$A$49,products!$E$1:$E$49,,0)</f>
        <v>8.73</v>
      </c>
      <c r="M78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_xlfn.XLOOKUP(orders!D786,products!$A$1:$A$49,products!$B$1:$B$49,,0)</f>
        <v>Lib</v>
      </c>
      <c r="J786" t="str">
        <f>_xlfn.XLOOKUP(D786,products!$A$1:$A$49,products!$C$1:$C$49,,0)</f>
        <v>L</v>
      </c>
      <c r="K786" s="13">
        <f>_xlfn.XLOOKUP(D786,products!$A$1:$A$49,products!$D$1:$D$49,,0)</f>
        <v>1</v>
      </c>
      <c r="L786" s="5">
        <f>_xlfn.XLOOKUP(D786,products!$A$1:$A$49,products!$E$1:$E$49,,0)</f>
        <v>15.85</v>
      </c>
      <c r="M786">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_xlfn.XLOOKUP(orders!D787,products!$A$1:$A$49,products!$B$1:$B$49,,0)</f>
        <v>Ara</v>
      </c>
      <c r="J787" t="str">
        <f>_xlfn.XLOOKUP(D787,products!$A$1:$A$49,products!$C$1:$C$49,,0)</f>
        <v>D</v>
      </c>
      <c r="K787" s="13">
        <f>_xlfn.XLOOKUP(D787,products!$A$1:$A$49,products!$D$1:$D$49,,0)</f>
        <v>2.5</v>
      </c>
      <c r="L787" s="5">
        <f>_xlfn.XLOOKUP(D787,products!$A$1:$A$49,products!$E$1:$E$49,,0)</f>
        <v>22.884999999999998</v>
      </c>
      <c r="M787">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_xlfn.XLOOKUP(orders!D788,products!$A$1:$A$49,products!$B$1:$B$49,,0)</f>
        <v>Exc</v>
      </c>
      <c r="J788" t="str">
        <f>_xlfn.XLOOKUP(D788,products!$A$1:$A$49,products!$C$1:$C$49,,0)</f>
        <v>D</v>
      </c>
      <c r="K788" s="13">
        <f>_xlfn.XLOOKUP(D788,products!$A$1:$A$49,products!$D$1:$D$49,,0)</f>
        <v>2.5</v>
      </c>
      <c r="L788" s="5">
        <f>_xlfn.XLOOKUP(D788,products!$A$1:$A$49,products!$E$1:$E$49,,0)</f>
        <v>27.945</v>
      </c>
      <c r="M788">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_xlfn.XLOOKUP(orders!D789,products!$A$1:$A$49,products!$B$1:$B$49,,0)</f>
        <v>Exc</v>
      </c>
      <c r="J789" t="str">
        <f>_xlfn.XLOOKUP(D789,products!$A$1:$A$49,products!$C$1:$C$49,,0)</f>
        <v>M</v>
      </c>
      <c r="K789" s="13">
        <f>_xlfn.XLOOKUP(D789,products!$A$1:$A$49,products!$D$1:$D$49,,0)</f>
        <v>1</v>
      </c>
      <c r="L789" s="5">
        <f>_xlfn.XLOOKUP(D789,products!$A$1:$A$49,products!$E$1:$E$49,,0)</f>
        <v>13.75</v>
      </c>
      <c r="M789">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_xlfn.XLOOKUP(orders!D790,products!$A$1:$A$49,products!$B$1:$B$49,,0)</f>
        <v>Rob</v>
      </c>
      <c r="J790" t="str">
        <f>_xlfn.XLOOKUP(D790,products!$A$1:$A$49,products!$C$1:$C$49,,0)</f>
        <v>M</v>
      </c>
      <c r="K790" s="13">
        <f>_xlfn.XLOOKUP(D790,products!$A$1:$A$49,products!$D$1:$D$49,,0)</f>
        <v>2.5</v>
      </c>
      <c r="L790" s="5">
        <f>_xlfn.XLOOKUP(D790,products!$A$1:$A$49,products!$E$1:$E$49,,0)</f>
        <v>22.884999999999998</v>
      </c>
      <c r="M790">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_xlfn.XLOOKUP(orders!D791,products!$A$1:$A$49,products!$B$1:$B$49,,0)</f>
        <v>Ara</v>
      </c>
      <c r="J791" t="str">
        <f>_xlfn.XLOOKUP(D791,products!$A$1:$A$49,products!$C$1:$C$49,,0)</f>
        <v>L</v>
      </c>
      <c r="K791" s="13">
        <f>_xlfn.XLOOKUP(D791,products!$A$1:$A$49,products!$D$1:$D$49,,0)</f>
        <v>1</v>
      </c>
      <c r="L791" s="5">
        <f>_xlfn.XLOOKUP(D791,products!$A$1:$A$49,products!$E$1:$E$49,,0)</f>
        <v>12.95</v>
      </c>
      <c r="M791">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_xlfn.XLOOKUP(orders!D792,products!$A$1:$A$49,products!$B$1:$B$49,,0)</f>
        <v>Ara</v>
      </c>
      <c r="J792" t="str">
        <f>_xlfn.XLOOKUP(D792,products!$A$1:$A$49,products!$C$1:$C$49,,0)</f>
        <v>L</v>
      </c>
      <c r="K792" s="13">
        <f>_xlfn.XLOOKUP(D792,products!$A$1:$A$49,products!$D$1:$D$49,,0)</f>
        <v>0.5</v>
      </c>
      <c r="L792" s="5">
        <f>_xlfn.XLOOKUP(D792,products!$A$1:$A$49,products!$E$1:$E$49,,0)</f>
        <v>7.77</v>
      </c>
      <c r="M792">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_xlfn.XLOOKUP(orders!D793,products!$A$1:$A$49,products!$B$1:$B$49,,0)</f>
        <v>Lib</v>
      </c>
      <c r="J793" t="str">
        <f>_xlfn.XLOOKUP(D793,products!$A$1:$A$49,products!$C$1:$C$49,,0)</f>
        <v>L</v>
      </c>
      <c r="K793" s="13">
        <f>_xlfn.XLOOKUP(D793,products!$A$1:$A$49,products!$D$1:$D$49,,0)</f>
        <v>0.2</v>
      </c>
      <c r="L793" s="5">
        <f>_xlfn.XLOOKUP(D793,products!$A$1:$A$49,products!$E$1:$E$49,,0)</f>
        <v>4.7549999999999999</v>
      </c>
      <c r="M793">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_xlfn.XLOOKUP(orders!D794,products!$A$1:$A$49,products!$B$1:$B$49,,0)</f>
        <v>Lib</v>
      </c>
      <c r="J794" t="str">
        <f>_xlfn.XLOOKUP(D794,products!$A$1:$A$49,products!$C$1:$C$49,,0)</f>
        <v>M</v>
      </c>
      <c r="K794" s="13">
        <f>_xlfn.XLOOKUP(D794,products!$A$1:$A$49,products!$D$1:$D$49,,0)</f>
        <v>0.5</v>
      </c>
      <c r="L794" s="5">
        <f>_xlfn.XLOOKUP(D794,products!$A$1:$A$49,products!$E$1:$E$49,,0)</f>
        <v>8.73</v>
      </c>
      <c r="M794">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_xlfn.XLOOKUP(orders!D795,products!$A$1:$A$49,products!$B$1:$B$49,,0)</f>
        <v>Rob</v>
      </c>
      <c r="J795" t="str">
        <f>_xlfn.XLOOKUP(D795,products!$A$1:$A$49,products!$C$1:$C$49,,0)</f>
        <v>L</v>
      </c>
      <c r="K795" s="13">
        <f>_xlfn.XLOOKUP(D795,products!$A$1:$A$49,products!$D$1:$D$49,,0)</f>
        <v>0.2</v>
      </c>
      <c r="L795" s="5">
        <f>_xlfn.XLOOKUP(D795,products!$A$1:$A$49,products!$E$1:$E$49,,0)</f>
        <v>3.5849999999999995</v>
      </c>
      <c r="M79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_xlfn.XLOOKUP(orders!D796,products!$A$1:$A$49,products!$B$1:$B$49,,0)</f>
        <v>Ara</v>
      </c>
      <c r="J796" t="str">
        <f>_xlfn.XLOOKUP(D796,products!$A$1:$A$49,products!$C$1:$C$49,,0)</f>
        <v>L</v>
      </c>
      <c r="K796" s="13">
        <f>_xlfn.XLOOKUP(D796,products!$A$1:$A$49,products!$D$1:$D$49,,0)</f>
        <v>2.5</v>
      </c>
      <c r="L796" s="5">
        <f>_xlfn.XLOOKUP(D796,products!$A$1:$A$49,products!$E$1:$E$49,,0)</f>
        <v>29.784999999999997</v>
      </c>
      <c r="M796">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_xlfn.XLOOKUP(orders!D797,products!$A$1:$A$49,products!$B$1:$B$49,,0)</f>
        <v>Rob</v>
      </c>
      <c r="J797" t="str">
        <f>_xlfn.XLOOKUP(D797,products!$A$1:$A$49,products!$C$1:$C$49,,0)</f>
        <v>L</v>
      </c>
      <c r="K797" s="13">
        <f>_xlfn.XLOOKUP(D797,products!$A$1:$A$49,products!$D$1:$D$49,,0)</f>
        <v>0.5</v>
      </c>
      <c r="L797" s="5">
        <f>_xlfn.XLOOKUP(D797,products!$A$1:$A$49,products!$E$1:$E$49,,0)</f>
        <v>7.169999999999999</v>
      </c>
      <c r="M797">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_xlfn.XLOOKUP(orders!D798,products!$A$1:$A$49,products!$B$1:$B$49,,0)</f>
        <v>Lib</v>
      </c>
      <c r="J798" t="str">
        <f>_xlfn.XLOOKUP(D798,products!$A$1:$A$49,products!$C$1:$C$49,,0)</f>
        <v>L</v>
      </c>
      <c r="K798" s="13">
        <f>_xlfn.XLOOKUP(D798,products!$A$1:$A$49,products!$D$1:$D$49,,0)</f>
        <v>0.5</v>
      </c>
      <c r="L798" s="5">
        <f>_xlfn.XLOOKUP(D798,products!$A$1:$A$49,products!$E$1:$E$49,,0)</f>
        <v>9.51</v>
      </c>
      <c r="M798">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_xlfn.XLOOKUP(orders!D799,products!$A$1:$A$49,products!$B$1:$B$49,,0)</f>
        <v>Ara</v>
      </c>
      <c r="J799" t="str">
        <f>_xlfn.XLOOKUP(D799,products!$A$1:$A$49,products!$C$1:$C$49,,0)</f>
        <v>L</v>
      </c>
      <c r="K799" s="13">
        <f>_xlfn.XLOOKUP(D799,products!$A$1:$A$49,products!$D$1:$D$49,,0)</f>
        <v>0.5</v>
      </c>
      <c r="L799" s="5">
        <f>_xlfn.XLOOKUP(D799,products!$A$1:$A$49,products!$E$1:$E$49,,0)</f>
        <v>7.77</v>
      </c>
      <c r="M799">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_xlfn.XLOOKUP(orders!D800,products!$A$1:$A$49,products!$B$1:$B$49,,0)</f>
        <v>Rob</v>
      </c>
      <c r="J800" t="str">
        <f>_xlfn.XLOOKUP(D800,products!$A$1:$A$49,products!$C$1:$C$49,,0)</f>
        <v>D</v>
      </c>
      <c r="K800" s="13">
        <f>_xlfn.XLOOKUP(D800,products!$A$1:$A$49,products!$D$1:$D$49,,0)</f>
        <v>0.2</v>
      </c>
      <c r="L800" s="5">
        <f>_xlfn.XLOOKUP(D800,products!$A$1:$A$49,products!$E$1:$E$49,,0)</f>
        <v>2.6849999999999996</v>
      </c>
      <c r="M800">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_xlfn.XLOOKUP(orders!D801,products!$A$1:$A$49,products!$B$1:$B$49,,0)</f>
        <v>Exc</v>
      </c>
      <c r="J801" t="str">
        <f>_xlfn.XLOOKUP(D801,products!$A$1:$A$49,products!$C$1:$C$49,,0)</f>
        <v>D</v>
      </c>
      <c r="K801" s="13">
        <f>_xlfn.XLOOKUP(D801,products!$A$1:$A$49,products!$D$1:$D$49,,0)</f>
        <v>1</v>
      </c>
      <c r="L801" s="5">
        <f>_xlfn.XLOOKUP(D801,products!$A$1:$A$49,products!$E$1:$E$49,,0)</f>
        <v>12.15</v>
      </c>
      <c r="M801">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_xlfn.XLOOKUP(orders!D802,products!$A$1:$A$49,products!$B$1:$B$49,,0)</f>
        <v>Rob</v>
      </c>
      <c r="J802" t="str">
        <f>_xlfn.XLOOKUP(D802,products!$A$1:$A$49,products!$C$1:$C$49,,0)</f>
        <v>D</v>
      </c>
      <c r="K802" s="13">
        <f>_xlfn.XLOOKUP(D802,products!$A$1:$A$49,products!$D$1:$D$49,,0)</f>
        <v>0.2</v>
      </c>
      <c r="L802" s="5">
        <f>_xlfn.XLOOKUP(D802,products!$A$1:$A$49,products!$E$1:$E$49,,0)</f>
        <v>2.6849999999999996</v>
      </c>
      <c r="M802">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_xlfn.XLOOKUP(orders!D803,products!$A$1:$A$49,products!$B$1:$B$49,,0)</f>
        <v>Rob</v>
      </c>
      <c r="J803" t="str">
        <f>_xlfn.XLOOKUP(D803,products!$A$1:$A$49,products!$C$1:$C$49,,0)</f>
        <v>D</v>
      </c>
      <c r="K803" s="13">
        <f>_xlfn.XLOOKUP(D803,products!$A$1:$A$49,products!$D$1:$D$49,,0)</f>
        <v>2.5</v>
      </c>
      <c r="L803" s="5">
        <f>_xlfn.XLOOKUP(D803,products!$A$1:$A$49,products!$E$1:$E$49,,0)</f>
        <v>20.584999999999997</v>
      </c>
      <c r="M803">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_xlfn.XLOOKUP(orders!D804,products!$A$1:$A$49,products!$B$1:$B$49,,0)</f>
        <v>Rob</v>
      </c>
      <c r="J804" t="str">
        <f>_xlfn.XLOOKUP(D804,products!$A$1:$A$49,products!$C$1:$C$49,,0)</f>
        <v>D</v>
      </c>
      <c r="K804" s="13">
        <f>_xlfn.XLOOKUP(D804,products!$A$1:$A$49,products!$D$1:$D$49,,0)</f>
        <v>0.2</v>
      </c>
      <c r="L804" s="5">
        <f>_xlfn.XLOOKUP(D804,products!$A$1:$A$49,products!$E$1:$E$49,,0)</f>
        <v>2.6849999999999996</v>
      </c>
      <c r="M804">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_xlfn.XLOOKUP(orders!D805,products!$A$1:$A$49,products!$B$1:$B$49,,0)</f>
        <v>Exc</v>
      </c>
      <c r="J805" t="str">
        <f>_xlfn.XLOOKUP(D805,products!$A$1:$A$49,products!$C$1:$C$49,,0)</f>
        <v>M</v>
      </c>
      <c r="K805" s="13">
        <f>_xlfn.XLOOKUP(D805,products!$A$1:$A$49,products!$D$1:$D$49,,0)</f>
        <v>2.5</v>
      </c>
      <c r="L805" s="5">
        <f>_xlfn.XLOOKUP(D805,products!$A$1:$A$49,products!$E$1:$E$49,,0)</f>
        <v>31.624999999999996</v>
      </c>
      <c r="M80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_xlfn.XLOOKUP(orders!D806,products!$A$1:$A$49,products!$B$1:$B$49,,0)</f>
        <v>Rob</v>
      </c>
      <c r="J806" t="str">
        <f>_xlfn.XLOOKUP(D806,products!$A$1:$A$49,products!$C$1:$C$49,,0)</f>
        <v>L</v>
      </c>
      <c r="K806" s="13">
        <f>_xlfn.XLOOKUP(D806,products!$A$1:$A$49,products!$D$1:$D$49,,0)</f>
        <v>1</v>
      </c>
      <c r="L806" s="5">
        <f>_xlfn.XLOOKUP(D806,products!$A$1:$A$49,products!$E$1:$E$49,,0)</f>
        <v>11.95</v>
      </c>
      <c r="M806">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_xlfn.XLOOKUP(orders!D807,products!$A$1:$A$49,products!$B$1:$B$49,,0)</f>
        <v>Rob</v>
      </c>
      <c r="J807" t="str">
        <f>_xlfn.XLOOKUP(D807,products!$A$1:$A$49,products!$C$1:$C$49,,0)</f>
        <v>M</v>
      </c>
      <c r="K807" s="13">
        <f>_xlfn.XLOOKUP(D807,products!$A$1:$A$49,products!$D$1:$D$49,,0)</f>
        <v>0.5</v>
      </c>
      <c r="L807" s="5">
        <f>_xlfn.XLOOKUP(D807,products!$A$1:$A$49,products!$E$1:$E$49,,0)</f>
        <v>5.97</v>
      </c>
      <c r="M807">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_xlfn.XLOOKUP(orders!D808,products!$A$1:$A$49,products!$B$1:$B$49,,0)</f>
        <v>Lib</v>
      </c>
      <c r="J808" t="str">
        <f>_xlfn.XLOOKUP(D808,products!$A$1:$A$49,products!$C$1:$C$49,,0)</f>
        <v>D</v>
      </c>
      <c r="K808" s="13">
        <f>_xlfn.XLOOKUP(D808,products!$A$1:$A$49,products!$D$1:$D$49,,0)</f>
        <v>0.2</v>
      </c>
      <c r="L808" s="5">
        <f>_xlfn.XLOOKUP(D808,products!$A$1:$A$49,products!$E$1:$E$49,,0)</f>
        <v>3.8849999999999998</v>
      </c>
      <c r="M808">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_xlfn.XLOOKUP(orders!D809,products!$A$1:$A$49,products!$B$1:$B$49,,0)</f>
        <v>Lib</v>
      </c>
      <c r="J809" t="str">
        <f>_xlfn.XLOOKUP(D809,products!$A$1:$A$49,products!$C$1:$C$49,,0)</f>
        <v>D</v>
      </c>
      <c r="K809" s="13">
        <f>_xlfn.XLOOKUP(D809,products!$A$1:$A$49,products!$D$1:$D$49,,0)</f>
        <v>0.5</v>
      </c>
      <c r="L809" s="5">
        <f>_xlfn.XLOOKUP(D809,products!$A$1:$A$49,products!$E$1:$E$49,,0)</f>
        <v>7.77</v>
      </c>
      <c r="M809">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_xlfn.XLOOKUP(orders!D810,products!$A$1:$A$49,products!$B$1:$B$49,,0)</f>
        <v>Rob</v>
      </c>
      <c r="J810" t="str">
        <f>_xlfn.XLOOKUP(D810,products!$A$1:$A$49,products!$C$1:$C$49,,0)</f>
        <v>L</v>
      </c>
      <c r="K810" s="13">
        <f>_xlfn.XLOOKUP(D810,products!$A$1:$A$49,products!$D$1:$D$49,,0)</f>
        <v>2.5</v>
      </c>
      <c r="L810" s="5">
        <f>_xlfn.XLOOKUP(D810,products!$A$1:$A$49,products!$E$1:$E$49,,0)</f>
        <v>27.484999999999996</v>
      </c>
      <c r="M810">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_xlfn.XLOOKUP(orders!D811,products!$A$1:$A$49,products!$B$1:$B$49,,0)</f>
        <v>Rob</v>
      </c>
      <c r="J811" t="str">
        <f>_xlfn.XLOOKUP(D811,products!$A$1:$A$49,products!$C$1:$C$49,,0)</f>
        <v>D</v>
      </c>
      <c r="K811" s="13">
        <f>_xlfn.XLOOKUP(D811,products!$A$1:$A$49,products!$D$1:$D$49,,0)</f>
        <v>0.2</v>
      </c>
      <c r="L811" s="5">
        <f>_xlfn.XLOOKUP(D811,products!$A$1:$A$49,products!$E$1:$E$49,,0)</f>
        <v>2.6849999999999996</v>
      </c>
      <c r="M811">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_xlfn.XLOOKUP(orders!D812,products!$A$1:$A$49,products!$B$1:$B$49,,0)</f>
        <v>Lib</v>
      </c>
      <c r="J812" t="str">
        <f>_xlfn.XLOOKUP(D812,products!$A$1:$A$49,products!$C$1:$C$49,,0)</f>
        <v>L</v>
      </c>
      <c r="K812" s="13">
        <f>_xlfn.XLOOKUP(D812,products!$A$1:$A$49,products!$D$1:$D$49,,0)</f>
        <v>0.5</v>
      </c>
      <c r="L812" s="5">
        <f>_xlfn.XLOOKUP(D812,products!$A$1:$A$49,products!$E$1:$E$49,,0)</f>
        <v>9.51</v>
      </c>
      <c r="M812">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_xlfn.XLOOKUP(orders!D813,products!$A$1:$A$49,products!$B$1:$B$49,,0)</f>
        <v>Ara</v>
      </c>
      <c r="J813" t="str">
        <f>_xlfn.XLOOKUP(D813,products!$A$1:$A$49,products!$C$1:$C$49,,0)</f>
        <v>M</v>
      </c>
      <c r="K813" s="13">
        <f>_xlfn.XLOOKUP(D813,products!$A$1:$A$49,products!$D$1:$D$49,,0)</f>
        <v>1</v>
      </c>
      <c r="L813" s="5">
        <f>_xlfn.XLOOKUP(D813,products!$A$1:$A$49,products!$E$1:$E$49,,0)</f>
        <v>11.25</v>
      </c>
      <c r="M813">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_xlfn.XLOOKUP(orders!D814,products!$A$1:$A$49,products!$B$1:$B$49,,0)</f>
        <v>Lib</v>
      </c>
      <c r="J814" t="str">
        <f>_xlfn.XLOOKUP(D814,products!$A$1:$A$49,products!$C$1:$C$49,,0)</f>
        <v>D</v>
      </c>
      <c r="K814" s="13">
        <f>_xlfn.XLOOKUP(D814,products!$A$1:$A$49,products!$D$1:$D$49,,0)</f>
        <v>2.5</v>
      </c>
      <c r="L814" s="5">
        <f>_xlfn.XLOOKUP(D814,products!$A$1:$A$49,products!$E$1:$E$49,,0)</f>
        <v>29.784999999999997</v>
      </c>
      <c r="M814">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_xlfn.XLOOKUP(orders!D815,products!$A$1:$A$49,products!$B$1:$B$49,,0)</f>
        <v>Exc</v>
      </c>
      <c r="J815" t="str">
        <f>_xlfn.XLOOKUP(D815,products!$A$1:$A$49,products!$C$1:$C$49,,0)</f>
        <v>M</v>
      </c>
      <c r="K815" s="13">
        <f>_xlfn.XLOOKUP(D815,products!$A$1:$A$49,products!$D$1:$D$49,,0)</f>
        <v>2.5</v>
      </c>
      <c r="L815" s="5">
        <f>_xlfn.XLOOKUP(D815,products!$A$1:$A$49,products!$E$1:$E$49,,0)</f>
        <v>31.624999999999996</v>
      </c>
      <c r="M81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_xlfn.XLOOKUP(orders!D816,products!$A$1:$A$49,products!$B$1:$B$49,,0)</f>
        <v>Exc</v>
      </c>
      <c r="J816" t="str">
        <f>_xlfn.XLOOKUP(D816,products!$A$1:$A$49,products!$C$1:$C$49,,0)</f>
        <v>L</v>
      </c>
      <c r="K816" s="13">
        <f>_xlfn.XLOOKUP(D816,products!$A$1:$A$49,products!$D$1:$D$49,,0)</f>
        <v>0.2</v>
      </c>
      <c r="L816" s="5">
        <f>_xlfn.XLOOKUP(D816,products!$A$1:$A$49,products!$E$1:$E$49,,0)</f>
        <v>4.4550000000000001</v>
      </c>
      <c r="M816">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_xlfn.XLOOKUP(orders!D817,products!$A$1:$A$49,products!$B$1:$B$49,,0)</f>
        <v>Rob</v>
      </c>
      <c r="J817" t="str">
        <f>_xlfn.XLOOKUP(D817,products!$A$1:$A$49,products!$C$1:$C$49,,0)</f>
        <v>M</v>
      </c>
      <c r="K817" s="13">
        <f>_xlfn.XLOOKUP(D817,products!$A$1:$A$49,products!$D$1:$D$49,,0)</f>
        <v>0.5</v>
      </c>
      <c r="L817" s="5">
        <f>_xlfn.XLOOKUP(D817,products!$A$1:$A$49,products!$E$1:$E$49,,0)</f>
        <v>5.97</v>
      </c>
      <c r="M817">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_xlfn.XLOOKUP(orders!D818,products!$A$1:$A$49,products!$B$1:$B$49,,0)</f>
        <v>Lib</v>
      </c>
      <c r="J818" t="str">
        <f>_xlfn.XLOOKUP(D818,products!$A$1:$A$49,products!$C$1:$C$49,,0)</f>
        <v>L</v>
      </c>
      <c r="K818" s="13">
        <f>_xlfn.XLOOKUP(D818,products!$A$1:$A$49,products!$D$1:$D$49,,0)</f>
        <v>0.5</v>
      </c>
      <c r="L818" s="5">
        <f>_xlfn.XLOOKUP(D818,products!$A$1:$A$49,products!$E$1:$E$49,,0)</f>
        <v>9.51</v>
      </c>
      <c r="M818">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_xlfn.XLOOKUP(orders!D819,products!$A$1:$A$49,products!$B$1:$B$49,,0)</f>
        <v>Lib</v>
      </c>
      <c r="J819" t="str">
        <f>_xlfn.XLOOKUP(D819,products!$A$1:$A$49,products!$C$1:$C$49,,0)</f>
        <v>D</v>
      </c>
      <c r="K819" s="13">
        <f>_xlfn.XLOOKUP(D819,products!$A$1:$A$49,products!$D$1:$D$49,,0)</f>
        <v>0.5</v>
      </c>
      <c r="L819" s="5">
        <f>_xlfn.XLOOKUP(D819,products!$A$1:$A$49,products!$E$1:$E$49,,0)</f>
        <v>7.77</v>
      </c>
      <c r="M819">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_xlfn.XLOOKUP(orders!D820,products!$A$1:$A$49,products!$B$1:$B$49,,0)</f>
        <v>Lib</v>
      </c>
      <c r="J820" t="str">
        <f>_xlfn.XLOOKUP(D820,products!$A$1:$A$49,products!$C$1:$C$49,,0)</f>
        <v>L</v>
      </c>
      <c r="K820" s="13">
        <f>_xlfn.XLOOKUP(D820,products!$A$1:$A$49,products!$D$1:$D$49,,0)</f>
        <v>1</v>
      </c>
      <c r="L820" s="5">
        <f>_xlfn.XLOOKUP(D820,products!$A$1:$A$49,products!$E$1:$E$49,,0)</f>
        <v>15.85</v>
      </c>
      <c r="M820">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_xlfn.XLOOKUP(orders!D821,products!$A$1:$A$49,products!$B$1:$B$49,,0)</f>
        <v>Lib</v>
      </c>
      <c r="J821" t="str">
        <f>_xlfn.XLOOKUP(D821,products!$A$1:$A$49,products!$C$1:$C$49,,0)</f>
        <v>L</v>
      </c>
      <c r="K821" s="13">
        <f>_xlfn.XLOOKUP(D821,products!$A$1:$A$49,products!$D$1:$D$49,,0)</f>
        <v>0.2</v>
      </c>
      <c r="L821" s="5">
        <f>_xlfn.XLOOKUP(D821,products!$A$1:$A$49,products!$E$1:$E$49,,0)</f>
        <v>4.7549999999999999</v>
      </c>
      <c r="M821">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_xlfn.XLOOKUP(orders!D822,products!$A$1:$A$49,products!$B$1:$B$49,,0)</f>
        <v>Exc</v>
      </c>
      <c r="J822" t="str">
        <f>_xlfn.XLOOKUP(D822,products!$A$1:$A$49,products!$C$1:$C$49,,0)</f>
        <v>M</v>
      </c>
      <c r="K822" s="13">
        <f>_xlfn.XLOOKUP(D822,products!$A$1:$A$49,products!$D$1:$D$49,,0)</f>
        <v>1</v>
      </c>
      <c r="L822" s="5">
        <f>_xlfn.XLOOKUP(D822,products!$A$1:$A$49,products!$E$1:$E$49,,0)</f>
        <v>13.75</v>
      </c>
      <c r="M822">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_xlfn.XLOOKUP(orders!D823,products!$A$1:$A$49,products!$B$1:$B$49,,0)</f>
        <v>Rob</v>
      </c>
      <c r="J823" t="str">
        <f>_xlfn.XLOOKUP(D823,products!$A$1:$A$49,products!$C$1:$C$49,,0)</f>
        <v>D</v>
      </c>
      <c r="K823" s="13">
        <f>_xlfn.XLOOKUP(D823,products!$A$1:$A$49,products!$D$1:$D$49,,0)</f>
        <v>0.5</v>
      </c>
      <c r="L823" s="5">
        <f>_xlfn.XLOOKUP(D823,products!$A$1:$A$49,products!$E$1:$E$49,,0)</f>
        <v>5.3699999999999992</v>
      </c>
      <c r="M823">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_xlfn.XLOOKUP(orders!D824,products!$A$1:$A$49,products!$B$1:$B$49,,0)</f>
        <v>Exc</v>
      </c>
      <c r="J824" t="str">
        <f>_xlfn.XLOOKUP(D824,products!$A$1:$A$49,products!$C$1:$C$49,,0)</f>
        <v>L</v>
      </c>
      <c r="K824" s="13">
        <f>_xlfn.XLOOKUP(D824,products!$A$1:$A$49,products!$D$1:$D$49,,0)</f>
        <v>2.5</v>
      </c>
      <c r="L824" s="5">
        <f>_xlfn.XLOOKUP(D824,products!$A$1:$A$49,products!$E$1:$E$49,,0)</f>
        <v>34.154999999999994</v>
      </c>
      <c r="M824">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_xlfn.XLOOKUP(orders!D825,products!$A$1:$A$49,products!$B$1:$B$49,,0)</f>
        <v>Lib</v>
      </c>
      <c r="J825" t="str">
        <f>_xlfn.XLOOKUP(D825,products!$A$1:$A$49,products!$C$1:$C$49,,0)</f>
        <v>L</v>
      </c>
      <c r="K825" s="13">
        <f>_xlfn.XLOOKUP(D825,products!$A$1:$A$49,products!$D$1:$D$49,,0)</f>
        <v>1</v>
      </c>
      <c r="L825" s="5">
        <f>_xlfn.XLOOKUP(D825,products!$A$1:$A$49,products!$E$1:$E$49,,0)</f>
        <v>15.85</v>
      </c>
      <c r="M82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_xlfn.XLOOKUP(orders!D826,products!$A$1:$A$49,products!$B$1:$B$49,,0)</f>
        <v>Ara</v>
      </c>
      <c r="J826" t="str">
        <f>_xlfn.XLOOKUP(D826,products!$A$1:$A$49,products!$C$1:$C$49,,0)</f>
        <v>M</v>
      </c>
      <c r="K826" s="13">
        <f>_xlfn.XLOOKUP(D826,products!$A$1:$A$49,products!$D$1:$D$49,,0)</f>
        <v>0.2</v>
      </c>
      <c r="L826" s="5">
        <f>_xlfn.XLOOKUP(D826,products!$A$1:$A$49,products!$E$1:$E$49,,0)</f>
        <v>3.375</v>
      </c>
      <c r="M826">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_xlfn.XLOOKUP(orders!D827,products!$A$1:$A$49,products!$B$1:$B$49,,0)</f>
        <v>Ara</v>
      </c>
      <c r="J827" t="str">
        <f>_xlfn.XLOOKUP(D827,products!$A$1:$A$49,products!$C$1:$C$49,,0)</f>
        <v>D</v>
      </c>
      <c r="K827" s="13">
        <f>_xlfn.XLOOKUP(D827,products!$A$1:$A$49,products!$D$1:$D$49,,0)</f>
        <v>1</v>
      </c>
      <c r="L827" s="5">
        <f>_xlfn.XLOOKUP(D827,products!$A$1:$A$49,products!$E$1:$E$49,,0)</f>
        <v>9.9499999999999993</v>
      </c>
      <c r="M827">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_xlfn.XLOOKUP(orders!D828,products!$A$1:$A$49,products!$B$1:$B$49,,0)</f>
        <v>Exc</v>
      </c>
      <c r="J828" t="str">
        <f>_xlfn.XLOOKUP(D828,products!$A$1:$A$49,products!$C$1:$C$49,,0)</f>
        <v>M</v>
      </c>
      <c r="K828" s="13">
        <f>_xlfn.XLOOKUP(D828,products!$A$1:$A$49,products!$D$1:$D$49,,0)</f>
        <v>0.5</v>
      </c>
      <c r="L828" s="5">
        <f>_xlfn.XLOOKUP(D828,products!$A$1:$A$49,products!$E$1:$E$49,,0)</f>
        <v>8.25</v>
      </c>
      <c r="M828">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_xlfn.XLOOKUP(orders!D829,products!$A$1:$A$49,products!$B$1:$B$49,,0)</f>
        <v>Exc</v>
      </c>
      <c r="J829" t="str">
        <f>_xlfn.XLOOKUP(D829,products!$A$1:$A$49,products!$C$1:$C$49,,0)</f>
        <v>M</v>
      </c>
      <c r="K829" s="13">
        <f>_xlfn.XLOOKUP(D829,products!$A$1:$A$49,products!$D$1:$D$49,,0)</f>
        <v>0.2</v>
      </c>
      <c r="L829" s="5">
        <f>_xlfn.XLOOKUP(D829,products!$A$1:$A$49,products!$E$1:$E$49,,0)</f>
        <v>4.125</v>
      </c>
      <c r="M829">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_xlfn.XLOOKUP(orders!D830,products!$A$1:$A$49,products!$B$1:$B$49,,0)</f>
        <v>Ara</v>
      </c>
      <c r="J830" t="str">
        <f>_xlfn.XLOOKUP(D830,products!$A$1:$A$49,products!$C$1:$C$49,,0)</f>
        <v>D</v>
      </c>
      <c r="K830" s="13">
        <f>_xlfn.XLOOKUP(D830,products!$A$1:$A$49,products!$D$1:$D$49,,0)</f>
        <v>2.5</v>
      </c>
      <c r="L830" s="5">
        <f>_xlfn.XLOOKUP(D830,products!$A$1:$A$49,products!$E$1:$E$49,,0)</f>
        <v>22.884999999999998</v>
      </c>
      <c r="M830">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_xlfn.XLOOKUP(orders!D831,products!$A$1:$A$49,products!$B$1:$B$49,,0)</f>
        <v>Ara</v>
      </c>
      <c r="J831" t="str">
        <f>_xlfn.XLOOKUP(D831,products!$A$1:$A$49,products!$C$1:$C$49,,0)</f>
        <v>D</v>
      </c>
      <c r="K831" s="13">
        <f>_xlfn.XLOOKUP(D831,products!$A$1:$A$49,products!$D$1:$D$49,,0)</f>
        <v>0.2</v>
      </c>
      <c r="L831" s="5">
        <f>_xlfn.XLOOKUP(D831,products!$A$1:$A$49,products!$E$1:$E$49,,0)</f>
        <v>2.9849999999999999</v>
      </c>
      <c r="M831">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_xlfn.XLOOKUP(orders!D832,products!$A$1:$A$49,products!$B$1:$B$49,,0)</f>
        <v>Exc</v>
      </c>
      <c r="J832" t="str">
        <f>_xlfn.XLOOKUP(D832,products!$A$1:$A$49,products!$C$1:$C$49,,0)</f>
        <v>M</v>
      </c>
      <c r="K832" s="13">
        <f>_xlfn.XLOOKUP(D832,products!$A$1:$A$49,products!$D$1:$D$49,,0)</f>
        <v>1</v>
      </c>
      <c r="L832" s="5">
        <f>_xlfn.XLOOKUP(D832,products!$A$1:$A$49,products!$E$1:$E$49,,0)</f>
        <v>13.75</v>
      </c>
      <c r="M832">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_xlfn.XLOOKUP(orders!D833,products!$A$1:$A$49,products!$B$1:$B$49,,0)</f>
        <v>Ara</v>
      </c>
      <c r="J833" t="str">
        <f>_xlfn.XLOOKUP(D833,products!$A$1:$A$49,products!$C$1:$C$49,,0)</f>
        <v>D</v>
      </c>
      <c r="K833" s="13">
        <f>_xlfn.XLOOKUP(D833,products!$A$1:$A$49,products!$D$1:$D$49,,0)</f>
        <v>0.2</v>
      </c>
      <c r="L833" s="5">
        <f>_xlfn.XLOOKUP(D833,products!$A$1:$A$49,products!$E$1:$E$49,,0)</f>
        <v>2.9849999999999999</v>
      </c>
      <c r="M833">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_xlfn.XLOOKUP(orders!D834,products!$A$1:$A$49,products!$B$1:$B$49,,0)</f>
        <v>Rob</v>
      </c>
      <c r="J834" t="str">
        <f>_xlfn.XLOOKUP(D834,products!$A$1:$A$49,products!$C$1:$C$49,,0)</f>
        <v>M</v>
      </c>
      <c r="K834" s="13">
        <f>_xlfn.XLOOKUP(D834,products!$A$1:$A$49,products!$D$1:$D$49,,0)</f>
        <v>1</v>
      </c>
      <c r="L834" s="5">
        <f>_xlfn.XLOOKUP(D834,products!$A$1:$A$49,products!$E$1:$E$49,,0)</f>
        <v>9.9499999999999993</v>
      </c>
      <c r="M834">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_xlfn.XLOOKUP(orders!D835,products!$A$1:$A$49,products!$B$1:$B$49,,0)</f>
        <v>Rob</v>
      </c>
      <c r="J835" t="str">
        <f>_xlfn.XLOOKUP(D835,products!$A$1:$A$49,products!$C$1:$C$49,,0)</f>
        <v>D</v>
      </c>
      <c r="K835" s="13">
        <f>_xlfn.XLOOKUP(D835,products!$A$1:$A$49,products!$D$1:$D$49,,0)</f>
        <v>2.5</v>
      </c>
      <c r="L835" s="5">
        <f>_xlfn.XLOOKUP(D835,products!$A$1:$A$49,products!$E$1:$E$49,,0)</f>
        <v>20.584999999999997</v>
      </c>
      <c r="M83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_xlfn.XLOOKUP(orders!D836,products!$A$1:$A$49,products!$B$1:$B$49,,0)</f>
        <v>Ara</v>
      </c>
      <c r="J836" t="str">
        <f>_xlfn.XLOOKUP(D836,products!$A$1:$A$49,products!$C$1:$C$49,,0)</f>
        <v>D</v>
      </c>
      <c r="K836" s="13">
        <f>_xlfn.XLOOKUP(D836,products!$A$1:$A$49,products!$D$1:$D$49,,0)</f>
        <v>2.5</v>
      </c>
      <c r="L836" s="5">
        <f>_xlfn.XLOOKUP(D836,products!$A$1:$A$49,products!$E$1:$E$49,,0)</f>
        <v>22.884999999999998</v>
      </c>
      <c r="M836">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_xlfn.XLOOKUP(orders!D837,products!$A$1:$A$49,products!$B$1:$B$49,,0)</f>
        <v>Exc</v>
      </c>
      <c r="J837" t="str">
        <f>_xlfn.XLOOKUP(D837,products!$A$1:$A$49,products!$C$1:$C$49,,0)</f>
        <v>L</v>
      </c>
      <c r="K837" s="13">
        <f>_xlfn.XLOOKUP(D837,products!$A$1:$A$49,products!$D$1:$D$49,,0)</f>
        <v>0.5</v>
      </c>
      <c r="L837" s="5">
        <f>_xlfn.XLOOKUP(D837,products!$A$1:$A$49,products!$E$1:$E$49,,0)</f>
        <v>8.91</v>
      </c>
      <c r="M837">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_xlfn.XLOOKUP(orders!D838,products!$A$1:$A$49,products!$B$1:$B$49,,0)</f>
        <v>Ara</v>
      </c>
      <c r="J838" t="str">
        <f>_xlfn.XLOOKUP(D838,products!$A$1:$A$49,products!$C$1:$C$49,,0)</f>
        <v>D</v>
      </c>
      <c r="K838" s="13">
        <f>_xlfn.XLOOKUP(D838,products!$A$1:$A$49,products!$D$1:$D$49,,0)</f>
        <v>0.2</v>
      </c>
      <c r="L838" s="5">
        <f>_xlfn.XLOOKUP(D838,products!$A$1:$A$49,products!$E$1:$E$49,,0)</f>
        <v>2.9849999999999999</v>
      </c>
      <c r="M838">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_xlfn.XLOOKUP(orders!D839,products!$A$1:$A$49,products!$B$1:$B$49,,0)</f>
        <v>Lib</v>
      </c>
      <c r="J839" t="str">
        <f>_xlfn.XLOOKUP(D839,products!$A$1:$A$49,products!$C$1:$C$49,,0)</f>
        <v>M</v>
      </c>
      <c r="K839" s="13">
        <f>_xlfn.XLOOKUP(D839,products!$A$1:$A$49,products!$D$1:$D$49,,0)</f>
        <v>2.5</v>
      </c>
      <c r="L839" s="5">
        <f>_xlfn.XLOOKUP(D839,products!$A$1:$A$49,products!$E$1:$E$49,,0)</f>
        <v>33.464999999999996</v>
      </c>
      <c r="M839">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_xlfn.XLOOKUP(orders!D840,products!$A$1:$A$49,products!$B$1:$B$49,,0)</f>
        <v>Ara</v>
      </c>
      <c r="J840" t="str">
        <f>_xlfn.XLOOKUP(D840,products!$A$1:$A$49,products!$C$1:$C$49,,0)</f>
        <v>D</v>
      </c>
      <c r="K840" s="13">
        <f>_xlfn.XLOOKUP(D840,products!$A$1:$A$49,products!$D$1:$D$49,,0)</f>
        <v>2.5</v>
      </c>
      <c r="L840" s="5">
        <f>_xlfn.XLOOKUP(D840,products!$A$1:$A$49,products!$E$1:$E$49,,0)</f>
        <v>22.884999999999998</v>
      </c>
      <c r="M840">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_xlfn.XLOOKUP(orders!D841,products!$A$1:$A$49,products!$B$1:$B$49,,0)</f>
        <v>Exc</v>
      </c>
      <c r="J841" t="str">
        <f>_xlfn.XLOOKUP(D841,products!$A$1:$A$49,products!$C$1:$C$49,,0)</f>
        <v>M</v>
      </c>
      <c r="K841" s="13">
        <f>_xlfn.XLOOKUP(D841,products!$A$1:$A$49,products!$D$1:$D$49,,0)</f>
        <v>0.5</v>
      </c>
      <c r="L841" s="5">
        <f>_xlfn.XLOOKUP(D841,products!$A$1:$A$49,products!$E$1:$E$49,,0)</f>
        <v>8.25</v>
      </c>
      <c r="M841">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_xlfn.XLOOKUP(orders!D842,products!$A$1:$A$49,products!$B$1:$B$49,,0)</f>
        <v>Rob</v>
      </c>
      <c r="J842" t="str">
        <f>_xlfn.XLOOKUP(D842,products!$A$1:$A$49,products!$C$1:$C$49,,0)</f>
        <v>L</v>
      </c>
      <c r="K842" s="13">
        <f>_xlfn.XLOOKUP(D842,products!$A$1:$A$49,products!$D$1:$D$49,,0)</f>
        <v>0.5</v>
      </c>
      <c r="L842" s="5">
        <f>_xlfn.XLOOKUP(D842,products!$A$1:$A$49,products!$E$1:$E$49,,0)</f>
        <v>7.169999999999999</v>
      </c>
      <c r="M842">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_xlfn.XLOOKUP(orders!D843,products!$A$1:$A$49,products!$B$1:$B$49,,0)</f>
        <v>Lib</v>
      </c>
      <c r="J843" t="str">
        <f>_xlfn.XLOOKUP(D843,products!$A$1:$A$49,products!$C$1:$C$49,,0)</f>
        <v>M</v>
      </c>
      <c r="K843" s="13">
        <f>_xlfn.XLOOKUP(D843,products!$A$1:$A$49,products!$D$1:$D$49,,0)</f>
        <v>0.2</v>
      </c>
      <c r="L843" s="5">
        <f>_xlfn.XLOOKUP(D843,products!$A$1:$A$49,products!$E$1:$E$49,,0)</f>
        <v>4.3650000000000002</v>
      </c>
      <c r="M843">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_xlfn.XLOOKUP(orders!D844,products!$A$1:$A$49,products!$B$1:$B$49,,0)</f>
        <v>Exc</v>
      </c>
      <c r="J844" t="str">
        <f>_xlfn.XLOOKUP(D844,products!$A$1:$A$49,products!$C$1:$C$49,,0)</f>
        <v>M</v>
      </c>
      <c r="K844" s="13">
        <f>_xlfn.XLOOKUP(D844,products!$A$1:$A$49,products!$D$1:$D$49,,0)</f>
        <v>0.2</v>
      </c>
      <c r="L844" s="5">
        <f>_xlfn.XLOOKUP(D844,products!$A$1:$A$49,products!$E$1:$E$49,,0)</f>
        <v>4.125</v>
      </c>
      <c r="M844">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_xlfn.XLOOKUP(orders!D845,products!$A$1:$A$49,products!$B$1:$B$49,,0)</f>
        <v>Exc</v>
      </c>
      <c r="J845" t="str">
        <f>_xlfn.XLOOKUP(D845,products!$A$1:$A$49,products!$C$1:$C$49,,0)</f>
        <v>M</v>
      </c>
      <c r="K845" s="13">
        <f>_xlfn.XLOOKUP(D845,products!$A$1:$A$49,products!$D$1:$D$49,,0)</f>
        <v>0.2</v>
      </c>
      <c r="L845" s="5">
        <f>_xlfn.XLOOKUP(D845,products!$A$1:$A$49,products!$E$1:$E$49,,0)</f>
        <v>4.125</v>
      </c>
      <c r="M84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_xlfn.XLOOKUP(orders!D846,products!$A$1:$A$49,products!$B$1:$B$49,,0)</f>
        <v>Ara</v>
      </c>
      <c r="J846" t="str">
        <f>_xlfn.XLOOKUP(D846,products!$A$1:$A$49,products!$C$1:$C$49,,0)</f>
        <v>D</v>
      </c>
      <c r="K846" s="13">
        <f>_xlfn.XLOOKUP(D846,products!$A$1:$A$49,products!$D$1:$D$49,,0)</f>
        <v>0.5</v>
      </c>
      <c r="L846" s="5">
        <f>_xlfn.XLOOKUP(D846,products!$A$1:$A$49,products!$E$1:$E$49,,0)</f>
        <v>5.97</v>
      </c>
      <c r="M846">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_xlfn.XLOOKUP(orders!D847,products!$A$1:$A$49,products!$B$1:$B$49,,0)</f>
        <v>Exc</v>
      </c>
      <c r="J847" t="str">
        <f>_xlfn.XLOOKUP(D847,products!$A$1:$A$49,products!$C$1:$C$49,,0)</f>
        <v>D</v>
      </c>
      <c r="K847" s="13">
        <f>_xlfn.XLOOKUP(D847,products!$A$1:$A$49,products!$D$1:$D$49,,0)</f>
        <v>2.5</v>
      </c>
      <c r="L847" s="5">
        <f>_xlfn.XLOOKUP(D847,products!$A$1:$A$49,products!$E$1:$E$49,,0)</f>
        <v>27.945</v>
      </c>
      <c r="M847">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_xlfn.XLOOKUP(orders!D848,products!$A$1:$A$49,products!$B$1:$B$49,,0)</f>
        <v>Ara</v>
      </c>
      <c r="J848" t="str">
        <f>_xlfn.XLOOKUP(D848,products!$A$1:$A$49,products!$C$1:$C$49,,0)</f>
        <v>M</v>
      </c>
      <c r="K848" s="13">
        <f>_xlfn.XLOOKUP(D848,products!$A$1:$A$49,products!$D$1:$D$49,,0)</f>
        <v>2.5</v>
      </c>
      <c r="L848" s="5">
        <f>_xlfn.XLOOKUP(D848,products!$A$1:$A$49,products!$E$1:$E$49,,0)</f>
        <v>25.874999999999996</v>
      </c>
      <c r="M848">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_xlfn.XLOOKUP(orders!D849,products!$A$1:$A$49,products!$B$1:$B$49,,0)</f>
        <v>Ara</v>
      </c>
      <c r="J849" t="str">
        <f>_xlfn.XLOOKUP(D849,products!$A$1:$A$49,products!$C$1:$C$49,,0)</f>
        <v>D</v>
      </c>
      <c r="K849" s="13">
        <f>_xlfn.XLOOKUP(D849,products!$A$1:$A$49,products!$D$1:$D$49,,0)</f>
        <v>0.2</v>
      </c>
      <c r="L849" s="5">
        <f>_xlfn.XLOOKUP(D849,products!$A$1:$A$49,products!$E$1:$E$49,,0)</f>
        <v>2.9849999999999999</v>
      </c>
      <c r="M849">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_xlfn.XLOOKUP(orders!D850,products!$A$1:$A$49,products!$B$1:$B$49,,0)</f>
        <v>Exc</v>
      </c>
      <c r="J850" t="str">
        <f>_xlfn.XLOOKUP(D850,products!$A$1:$A$49,products!$C$1:$C$49,,0)</f>
        <v>L</v>
      </c>
      <c r="K850" s="13">
        <f>_xlfn.XLOOKUP(D850,products!$A$1:$A$49,products!$D$1:$D$49,,0)</f>
        <v>0.5</v>
      </c>
      <c r="L850" s="5">
        <f>_xlfn.XLOOKUP(D850,products!$A$1:$A$49,products!$E$1:$E$49,,0)</f>
        <v>8.91</v>
      </c>
      <c r="M850">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_xlfn.XLOOKUP(orders!D851,products!$A$1:$A$49,products!$B$1:$B$49,,0)</f>
        <v>Ara</v>
      </c>
      <c r="J851" t="str">
        <f>_xlfn.XLOOKUP(D851,products!$A$1:$A$49,products!$C$1:$C$49,,0)</f>
        <v>L</v>
      </c>
      <c r="K851" s="13">
        <f>_xlfn.XLOOKUP(D851,products!$A$1:$A$49,products!$D$1:$D$49,,0)</f>
        <v>0.2</v>
      </c>
      <c r="L851" s="5">
        <f>_xlfn.XLOOKUP(D851,products!$A$1:$A$49,products!$E$1:$E$49,,0)</f>
        <v>3.8849999999999998</v>
      </c>
      <c r="M851">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_xlfn.XLOOKUP(orders!D852,products!$A$1:$A$49,products!$B$1:$B$49,,0)</f>
        <v>Ara</v>
      </c>
      <c r="J852" t="str">
        <f>_xlfn.XLOOKUP(D852,products!$A$1:$A$49,products!$C$1:$C$49,,0)</f>
        <v>M</v>
      </c>
      <c r="K852" s="13">
        <f>_xlfn.XLOOKUP(D852,products!$A$1:$A$49,products!$D$1:$D$49,,0)</f>
        <v>0.2</v>
      </c>
      <c r="L852" s="5">
        <f>_xlfn.XLOOKUP(D852,products!$A$1:$A$49,products!$E$1:$E$49,,0)</f>
        <v>3.375</v>
      </c>
      <c r="M852">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_xlfn.XLOOKUP(orders!D853,products!$A$1:$A$49,products!$B$1:$B$49,,0)</f>
        <v>Lib</v>
      </c>
      <c r="J853" t="str">
        <f>_xlfn.XLOOKUP(D853,products!$A$1:$A$49,products!$C$1:$C$49,,0)</f>
        <v>D</v>
      </c>
      <c r="K853" s="13">
        <f>_xlfn.XLOOKUP(D853,products!$A$1:$A$49,products!$D$1:$D$49,,0)</f>
        <v>0.5</v>
      </c>
      <c r="L853" s="5">
        <f>_xlfn.XLOOKUP(D853,products!$A$1:$A$49,products!$E$1:$E$49,,0)</f>
        <v>7.77</v>
      </c>
      <c r="M853">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_xlfn.XLOOKUP(orders!D854,products!$A$1:$A$49,products!$B$1:$B$49,,0)</f>
        <v>Lib</v>
      </c>
      <c r="J854" t="str">
        <f>_xlfn.XLOOKUP(D854,products!$A$1:$A$49,products!$C$1:$C$49,,0)</f>
        <v>D</v>
      </c>
      <c r="K854" s="13">
        <f>_xlfn.XLOOKUP(D854,products!$A$1:$A$49,products!$D$1:$D$49,,0)</f>
        <v>2.5</v>
      </c>
      <c r="L854" s="5">
        <f>_xlfn.XLOOKUP(D854,products!$A$1:$A$49,products!$E$1:$E$49,,0)</f>
        <v>29.784999999999997</v>
      </c>
      <c r="M854">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_xlfn.XLOOKUP(orders!D855,products!$A$1:$A$49,products!$B$1:$B$49,,0)</f>
        <v>Ara</v>
      </c>
      <c r="J855" t="str">
        <f>_xlfn.XLOOKUP(D855,products!$A$1:$A$49,products!$C$1:$C$49,,0)</f>
        <v>D</v>
      </c>
      <c r="K855" s="13">
        <f>_xlfn.XLOOKUP(D855,products!$A$1:$A$49,products!$D$1:$D$49,,0)</f>
        <v>1</v>
      </c>
      <c r="L855" s="5">
        <f>_xlfn.XLOOKUP(D855,products!$A$1:$A$49,products!$E$1:$E$49,,0)</f>
        <v>9.9499999999999993</v>
      </c>
      <c r="M85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_xlfn.XLOOKUP(orders!D856,products!$A$1:$A$49,products!$B$1:$B$49,,0)</f>
        <v>Rob</v>
      </c>
      <c r="J856" t="str">
        <f>_xlfn.XLOOKUP(D856,products!$A$1:$A$49,products!$C$1:$C$49,,0)</f>
        <v>L</v>
      </c>
      <c r="K856" s="13">
        <f>_xlfn.XLOOKUP(D856,products!$A$1:$A$49,products!$D$1:$D$49,,0)</f>
        <v>0.5</v>
      </c>
      <c r="L856" s="5">
        <f>_xlfn.XLOOKUP(D856,products!$A$1:$A$49,products!$E$1:$E$49,,0)</f>
        <v>7.169999999999999</v>
      </c>
      <c r="M856">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_xlfn.XLOOKUP(orders!D857,products!$A$1:$A$49,products!$B$1:$B$49,,0)</f>
        <v>Lib</v>
      </c>
      <c r="J857" t="str">
        <f>_xlfn.XLOOKUP(D857,products!$A$1:$A$49,products!$C$1:$C$49,,0)</f>
        <v>D</v>
      </c>
      <c r="K857" s="13">
        <f>_xlfn.XLOOKUP(D857,products!$A$1:$A$49,products!$D$1:$D$49,,0)</f>
        <v>2.5</v>
      </c>
      <c r="L857" s="5">
        <f>_xlfn.XLOOKUP(D857,products!$A$1:$A$49,products!$E$1:$E$49,,0)</f>
        <v>29.784999999999997</v>
      </c>
      <c r="M857">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_xlfn.XLOOKUP(orders!D858,products!$A$1:$A$49,products!$B$1:$B$49,,0)</f>
        <v>Lib</v>
      </c>
      <c r="J858" t="str">
        <f>_xlfn.XLOOKUP(D858,products!$A$1:$A$49,products!$C$1:$C$49,,0)</f>
        <v>M</v>
      </c>
      <c r="K858" s="13">
        <f>_xlfn.XLOOKUP(D858,products!$A$1:$A$49,products!$D$1:$D$49,,0)</f>
        <v>0.2</v>
      </c>
      <c r="L858" s="5">
        <f>_xlfn.XLOOKUP(D858,products!$A$1:$A$49,products!$E$1:$E$49,,0)</f>
        <v>4.3650000000000002</v>
      </c>
      <c r="M858">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_xlfn.XLOOKUP(orders!D859,products!$A$1:$A$49,products!$B$1:$B$49,,0)</f>
        <v>Rob</v>
      </c>
      <c r="J859" t="str">
        <f>_xlfn.XLOOKUP(D859,products!$A$1:$A$49,products!$C$1:$C$49,,0)</f>
        <v>L</v>
      </c>
      <c r="K859" s="13">
        <f>_xlfn.XLOOKUP(D859,products!$A$1:$A$49,products!$D$1:$D$49,,0)</f>
        <v>2.5</v>
      </c>
      <c r="L859" s="5">
        <f>_xlfn.XLOOKUP(D859,products!$A$1:$A$49,products!$E$1:$E$49,,0)</f>
        <v>27.484999999999996</v>
      </c>
      <c r="M859">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_xlfn.XLOOKUP(orders!D860,products!$A$1:$A$49,products!$B$1:$B$49,,0)</f>
        <v>Lib</v>
      </c>
      <c r="J860" t="str">
        <f>_xlfn.XLOOKUP(D860,products!$A$1:$A$49,products!$C$1:$C$49,,0)</f>
        <v>M</v>
      </c>
      <c r="K860" s="13">
        <f>_xlfn.XLOOKUP(D860,products!$A$1:$A$49,products!$D$1:$D$49,,0)</f>
        <v>0.5</v>
      </c>
      <c r="L860" s="5">
        <f>_xlfn.XLOOKUP(D860,products!$A$1:$A$49,products!$E$1:$E$49,,0)</f>
        <v>8.73</v>
      </c>
      <c r="M860">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_xlfn.XLOOKUP(orders!D861,products!$A$1:$A$49,products!$B$1:$B$49,,0)</f>
        <v>Ara</v>
      </c>
      <c r="J861" t="str">
        <f>_xlfn.XLOOKUP(D861,products!$A$1:$A$49,products!$C$1:$C$49,,0)</f>
        <v>L</v>
      </c>
      <c r="K861" s="13">
        <f>_xlfn.XLOOKUP(D861,products!$A$1:$A$49,products!$D$1:$D$49,,0)</f>
        <v>2.5</v>
      </c>
      <c r="L861" s="5">
        <f>_xlfn.XLOOKUP(D861,products!$A$1:$A$49,products!$E$1:$E$49,,0)</f>
        <v>29.784999999999997</v>
      </c>
      <c r="M861">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_xlfn.XLOOKUP(orders!D862,products!$A$1:$A$49,products!$B$1:$B$49,,0)</f>
        <v>Ara</v>
      </c>
      <c r="J862" t="str">
        <f>_xlfn.XLOOKUP(D862,products!$A$1:$A$49,products!$C$1:$C$49,,0)</f>
        <v>M</v>
      </c>
      <c r="K862" s="13">
        <f>_xlfn.XLOOKUP(D862,products!$A$1:$A$49,products!$D$1:$D$49,,0)</f>
        <v>2.5</v>
      </c>
      <c r="L862" s="5">
        <f>_xlfn.XLOOKUP(D862,products!$A$1:$A$49,products!$E$1:$E$49,,0)</f>
        <v>25.874999999999996</v>
      </c>
      <c r="M862">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_xlfn.XLOOKUP(orders!D863,products!$A$1:$A$49,products!$B$1:$B$49,,0)</f>
        <v>Lib</v>
      </c>
      <c r="J863" t="str">
        <f>_xlfn.XLOOKUP(D863,products!$A$1:$A$49,products!$C$1:$C$49,,0)</f>
        <v>D</v>
      </c>
      <c r="K863" s="13">
        <f>_xlfn.XLOOKUP(D863,products!$A$1:$A$49,products!$D$1:$D$49,,0)</f>
        <v>1</v>
      </c>
      <c r="L863" s="5">
        <f>_xlfn.XLOOKUP(D863,products!$A$1:$A$49,products!$E$1:$E$49,,0)</f>
        <v>12.95</v>
      </c>
      <c r="M863">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_xlfn.XLOOKUP(orders!D864,products!$A$1:$A$49,products!$B$1:$B$49,,0)</f>
        <v>Rob</v>
      </c>
      <c r="J864" t="str">
        <f>_xlfn.XLOOKUP(D864,products!$A$1:$A$49,products!$C$1:$C$49,,0)</f>
        <v>M</v>
      </c>
      <c r="K864" s="13">
        <f>_xlfn.XLOOKUP(D864,products!$A$1:$A$49,products!$D$1:$D$49,,0)</f>
        <v>1</v>
      </c>
      <c r="L864" s="5">
        <f>_xlfn.XLOOKUP(D864,products!$A$1:$A$49,products!$E$1:$E$49,,0)</f>
        <v>9.9499999999999993</v>
      </c>
      <c r="M864">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_xlfn.XLOOKUP(orders!D865,products!$A$1:$A$49,products!$B$1:$B$49,,0)</f>
        <v>Lib</v>
      </c>
      <c r="J865" t="str">
        <f>_xlfn.XLOOKUP(D865,products!$A$1:$A$49,products!$C$1:$C$49,,0)</f>
        <v>M</v>
      </c>
      <c r="K865" s="13">
        <f>_xlfn.XLOOKUP(D865,products!$A$1:$A$49,products!$D$1:$D$49,,0)</f>
        <v>1</v>
      </c>
      <c r="L865" s="5">
        <f>_xlfn.XLOOKUP(D865,products!$A$1:$A$49,products!$E$1:$E$49,,0)</f>
        <v>14.55</v>
      </c>
      <c r="M86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_xlfn.XLOOKUP(orders!D866,products!$A$1:$A$49,products!$B$1:$B$49,,0)</f>
        <v>Rob</v>
      </c>
      <c r="J866" t="str">
        <f>_xlfn.XLOOKUP(D866,products!$A$1:$A$49,products!$C$1:$C$49,,0)</f>
        <v>L</v>
      </c>
      <c r="K866" s="13">
        <f>_xlfn.XLOOKUP(D866,products!$A$1:$A$49,products!$D$1:$D$49,,0)</f>
        <v>0.2</v>
      </c>
      <c r="L866" s="5">
        <f>_xlfn.XLOOKUP(D866,products!$A$1:$A$49,products!$E$1:$E$49,,0)</f>
        <v>3.5849999999999995</v>
      </c>
      <c r="M866">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_xlfn.XLOOKUP(orders!D867,products!$A$1:$A$49,products!$B$1:$B$49,,0)</f>
        <v>Ara</v>
      </c>
      <c r="J867" t="str">
        <f>_xlfn.XLOOKUP(D867,products!$A$1:$A$49,products!$C$1:$C$49,,0)</f>
        <v>M</v>
      </c>
      <c r="K867" s="13">
        <f>_xlfn.XLOOKUP(D867,products!$A$1:$A$49,products!$D$1:$D$49,,0)</f>
        <v>0.5</v>
      </c>
      <c r="L867" s="5">
        <f>_xlfn.XLOOKUP(D867,products!$A$1:$A$49,products!$E$1:$E$49,,0)</f>
        <v>6.75</v>
      </c>
      <c r="M867">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_xlfn.XLOOKUP(orders!D868,products!$A$1:$A$49,products!$B$1:$B$49,,0)</f>
        <v>Ara</v>
      </c>
      <c r="J868" t="str">
        <f>_xlfn.XLOOKUP(D868,products!$A$1:$A$49,products!$C$1:$C$49,,0)</f>
        <v>D</v>
      </c>
      <c r="K868" s="13">
        <f>_xlfn.XLOOKUP(D868,products!$A$1:$A$49,products!$D$1:$D$49,,0)</f>
        <v>0.5</v>
      </c>
      <c r="L868" s="5">
        <f>_xlfn.XLOOKUP(D868,products!$A$1:$A$49,products!$E$1:$E$49,,0)</f>
        <v>5.97</v>
      </c>
      <c r="M868">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_xlfn.XLOOKUP(orders!D869,products!$A$1:$A$49,products!$B$1:$B$49,,0)</f>
        <v>Ara</v>
      </c>
      <c r="J869" t="str">
        <f>_xlfn.XLOOKUP(D869,products!$A$1:$A$49,products!$C$1:$C$49,,0)</f>
        <v>L</v>
      </c>
      <c r="K869" s="13">
        <f>_xlfn.XLOOKUP(D869,products!$A$1:$A$49,products!$D$1:$D$49,,0)</f>
        <v>2.5</v>
      </c>
      <c r="L869" s="5">
        <f>_xlfn.XLOOKUP(D869,products!$A$1:$A$49,products!$E$1:$E$49,,0)</f>
        <v>29.784999999999997</v>
      </c>
      <c r="M869">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_xlfn.XLOOKUP(orders!D870,products!$A$1:$A$49,products!$B$1:$B$49,,0)</f>
        <v>Exc</v>
      </c>
      <c r="J870" t="str">
        <f>_xlfn.XLOOKUP(D870,products!$A$1:$A$49,products!$C$1:$C$49,,0)</f>
        <v>M</v>
      </c>
      <c r="K870" s="13">
        <f>_xlfn.XLOOKUP(D870,products!$A$1:$A$49,products!$D$1:$D$49,,0)</f>
        <v>0.5</v>
      </c>
      <c r="L870" s="5">
        <f>_xlfn.XLOOKUP(D870,products!$A$1:$A$49,products!$E$1:$E$49,,0)</f>
        <v>8.25</v>
      </c>
      <c r="M870">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_xlfn.XLOOKUP(orders!D871,products!$A$1:$A$49,products!$B$1:$B$49,,0)</f>
        <v>Rob</v>
      </c>
      <c r="J871" t="str">
        <f>_xlfn.XLOOKUP(D871,products!$A$1:$A$49,products!$C$1:$C$49,,0)</f>
        <v>M</v>
      </c>
      <c r="K871" s="13">
        <f>_xlfn.XLOOKUP(D871,products!$A$1:$A$49,products!$D$1:$D$49,,0)</f>
        <v>0.5</v>
      </c>
      <c r="L871" s="5">
        <f>_xlfn.XLOOKUP(D871,products!$A$1:$A$49,products!$E$1:$E$49,,0)</f>
        <v>5.97</v>
      </c>
      <c r="M871">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_xlfn.XLOOKUP(orders!D872,products!$A$1:$A$49,products!$B$1:$B$49,,0)</f>
        <v>Exc</v>
      </c>
      <c r="J872" t="str">
        <f>_xlfn.XLOOKUP(D872,products!$A$1:$A$49,products!$C$1:$C$49,,0)</f>
        <v>D</v>
      </c>
      <c r="K872" s="13">
        <f>_xlfn.XLOOKUP(D872,products!$A$1:$A$49,products!$D$1:$D$49,,0)</f>
        <v>0.5</v>
      </c>
      <c r="L872" s="5">
        <f>_xlfn.XLOOKUP(D872,products!$A$1:$A$49,products!$E$1:$E$49,,0)</f>
        <v>7.29</v>
      </c>
      <c r="M872">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_xlfn.XLOOKUP(orders!D873,products!$A$1:$A$49,products!$B$1:$B$49,,0)</f>
        <v>Exc</v>
      </c>
      <c r="J873" t="str">
        <f>_xlfn.XLOOKUP(D873,products!$A$1:$A$49,products!$C$1:$C$49,,0)</f>
        <v>L</v>
      </c>
      <c r="K873" s="13">
        <f>_xlfn.XLOOKUP(D873,products!$A$1:$A$49,products!$D$1:$D$49,,0)</f>
        <v>1</v>
      </c>
      <c r="L873" s="5">
        <f>_xlfn.XLOOKUP(D873,products!$A$1:$A$49,products!$E$1:$E$49,,0)</f>
        <v>14.85</v>
      </c>
      <c r="M873">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_xlfn.XLOOKUP(orders!D874,products!$A$1:$A$49,products!$B$1:$B$49,,0)</f>
        <v>Ara</v>
      </c>
      <c r="J874" t="str">
        <f>_xlfn.XLOOKUP(D874,products!$A$1:$A$49,products!$C$1:$C$49,,0)</f>
        <v>M</v>
      </c>
      <c r="K874" s="13">
        <f>_xlfn.XLOOKUP(D874,products!$A$1:$A$49,products!$D$1:$D$49,,0)</f>
        <v>1</v>
      </c>
      <c r="L874" s="5">
        <f>_xlfn.XLOOKUP(D874,products!$A$1:$A$49,products!$E$1:$E$49,,0)</f>
        <v>11.25</v>
      </c>
      <c r="M874">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_xlfn.XLOOKUP(orders!D875,products!$A$1:$A$49,products!$B$1:$B$49,,0)</f>
        <v>Rob</v>
      </c>
      <c r="J875" t="str">
        <f>_xlfn.XLOOKUP(D875,products!$A$1:$A$49,products!$C$1:$C$49,,0)</f>
        <v>M</v>
      </c>
      <c r="K875" s="13">
        <f>_xlfn.XLOOKUP(D875,products!$A$1:$A$49,products!$D$1:$D$49,,0)</f>
        <v>0.2</v>
      </c>
      <c r="L875" s="5">
        <f>_xlfn.XLOOKUP(D875,products!$A$1:$A$49,products!$E$1:$E$49,,0)</f>
        <v>2.9849999999999999</v>
      </c>
      <c r="M87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_xlfn.XLOOKUP(orders!D876,products!$A$1:$A$49,products!$B$1:$B$49,,0)</f>
        <v>Ara</v>
      </c>
      <c r="J876" t="str">
        <f>_xlfn.XLOOKUP(D876,products!$A$1:$A$49,products!$C$1:$C$49,,0)</f>
        <v>L</v>
      </c>
      <c r="K876" s="13">
        <f>_xlfn.XLOOKUP(D876,products!$A$1:$A$49,products!$D$1:$D$49,,0)</f>
        <v>1</v>
      </c>
      <c r="L876" s="5">
        <f>_xlfn.XLOOKUP(D876,products!$A$1:$A$49,products!$E$1:$E$49,,0)</f>
        <v>12.95</v>
      </c>
      <c r="M876">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_xlfn.XLOOKUP(orders!D877,products!$A$1:$A$49,products!$B$1:$B$49,,0)</f>
        <v>Lib</v>
      </c>
      <c r="J877" t="str">
        <f>_xlfn.XLOOKUP(D877,products!$A$1:$A$49,products!$C$1:$C$49,,0)</f>
        <v>M</v>
      </c>
      <c r="K877" s="13">
        <f>_xlfn.XLOOKUP(D877,products!$A$1:$A$49,products!$D$1:$D$49,,0)</f>
        <v>0.5</v>
      </c>
      <c r="L877" s="5">
        <f>_xlfn.XLOOKUP(D877,products!$A$1:$A$49,products!$E$1:$E$49,,0)</f>
        <v>8.73</v>
      </c>
      <c r="M877">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_xlfn.XLOOKUP(orders!D878,products!$A$1:$A$49,products!$B$1:$B$49,,0)</f>
        <v>Ara</v>
      </c>
      <c r="J878" t="str">
        <f>_xlfn.XLOOKUP(D878,products!$A$1:$A$49,products!$C$1:$C$49,,0)</f>
        <v>L</v>
      </c>
      <c r="K878" s="13">
        <f>_xlfn.XLOOKUP(D878,products!$A$1:$A$49,products!$D$1:$D$49,,0)</f>
        <v>0.5</v>
      </c>
      <c r="L878" s="5">
        <f>_xlfn.XLOOKUP(D878,products!$A$1:$A$49,products!$E$1:$E$49,,0)</f>
        <v>7.77</v>
      </c>
      <c r="M878">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_xlfn.XLOOKUP(orders!D879,products!$A$1:$A$49,products!$B$1:$B$49,,0)</f>
        <v>Lib</v>
      </c>
      <c r="J879" t="str">
        <f>_xlfn.XLOOKUP(D879,products!$A$1:$A$49,products!$C$1:$C$49,,0)</f>
        <v>L</v>
      </c>
      <c r="K879" s="13">
        <f>_xlfn.XLOOKUP(D879,products!$A$1:$A$49,products!$D$1:$D$49,,0)</f>
        <v>0.5</v>
      </c>
      <c r="L879" s="5">
        <f>_xlfn.XLOOKUP(D879,products!$A$1:$A$49,products!$E$1:$E$49,,0)</f>
        <v>9.51</v>
      </c>
      <c r="M879">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_xlfn.XLOOKUP(orders!D880,products!$A$1:$A$49,products!$B$1:$B$49,,0)</f>
        <v>Rob</v>
      </c>
      <c r="J880" t="str">
        <f>_xlfn.XLOOKUP(D880,products!$A$1:$A$49,products!$C$1:$C$49,,0)</f>
        <v>L</v>
      </c>
      <c r="K880" s="13">
        <f>_xlfn.XLOOKUP(D880,products!$A$1:$A$49,products!$D$1:$D$49,,0)</f>
        <v>2.5</v>
      </c>
      <c r="L880" s="5">
        <f>_xlfn.XLOOKUP(D880,products!$A$1:$A$49,products!$E$1:$E$49,,0)</f>
        <v>27.484999999999996</v>
      </c>
      <c r="M880">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_xlfn.XLOOKUP(orders!D881,products!$A$1:$A$49,products!$B$1:$B$49,,0)</f>
        <v>Exc</v>
      </c>
      <c r="J881" t="str">
        <f>_xlfn.XLOOKUP(D881,products!$A$1:$A$49,products!$C$1:$C$49,,0)</f>
        <v>D</v>
      </c>
      <c r="K881" s="13">
        <f>_xlfn.XLOOKUP(D881,products!$A$1:$A$49,products!$D$1:$D$49,,0)</f>
        <v>0.2</v>
      </c>
      <c r="L881" s="5">
        <f>_xlfn.XLOOKUP(D881,products!$A$1:$A$49,products!$E$1:$E$49,,0)</f>
        <v>3.645</v>
      </c>
      <c r="M881">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_xlfn.XLOOKUP(orders!D882,products!$A$1:$A$49,products!$B$1:$B$49,,0)</f>
        <v>Rob</v>
      </c>
      <c r="J882" t="str">
        <f>_xlfn.XLOOKUP(D882,products!$A$1:$A$49,products!$C$1:$C$49,,0)</f>
        <v>L</v>
      </c>
      <c r="K882" s="13">
        <f>_xlfn.XLOOKUP(D882,products!$A$1:$A$49,products!$D$1:$D$49,,0)</f>
        <v>0.2</v>
      </c>
      <c r="L882" s="5">
        <f>_xlfn.XLOOKUP(D882,products!$A$1:$A$49,products!$E$1:$E$49,,0)</f>
        <v>3.5849999999999995</v>
      </c>
      <c r="M882">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_xlfn.XLOOKUP(orders!D883,products!$A$1:$A$49,products!$B$1:$B$49,,0)</f>
        <v>Ara</v>
      </c>
      <c r="J883" t="str">
        <f>_xlfn.XLOOKUP(D883,products!$A$1:$A$49,products!$C$1:$C$49,,0)</f>
        <v>L</v>
      </c>
      <c r="K883" s="13">
        <f>_xlfn.XLOOKUP(D883,products!$A$1:$A$49,products!$D$1:$D$49,,0)</f>
        <v>0.2</v>
      </c>
      <c r="L883" s="5">
        <f>_xlfn.XLOOKUP(D883,products!$A$1:$A$49,products!$E$1:$E$49,,0)</f>
        <v>3.8849999999999998</v>
      </c>
      <c r="M883">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_xlfn.XLOOKUP(orders!D884,products!$A$1:$A$49,products!$B$1:$B$49,,0)</f>
        <v>Ara</v>
      </c>
      <c r="J884" t="str">
        <f>_xlfn.XLOOKUP(D884,products!$A$1:$A$49,products!$C$1:$C$49,,0)</f>
        <v>D</v>
      </c>
      <c r="K884" s="13">
        <f>_xlfn.XLOOKUP(D884,products!$A$1:$A$49,products!$D$1:$D$49,,0)</f>
        <v>2.5</v>
      </c>
      <c r="L884" s="5">
        <f>_xlfn.XLOOKUP(D884,products!$A$1:$A$49,products!$E$1:$E$49,,0)</f>
        <v>22.884999999999998</v>
      </c>
      <c r="M884">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_xlfn.XLOOKUP(orders!D885,products!$A$1:$A$49,products!$B$1:$B$49,,0)</f>
        <v>Ara</v>
      </c>
      <c r="J885" t="str">
        <f>_xlfn.XLOOKUP(D885,products!$A$1:$A$49,products!$C$1:$C$49,,0)</f>
        <v>M</v>
      </c>
      <c r="K885" s="13">
        <f>_xlfn.XLOOKUP(D885,products!$A$1:$A$49,products!$D$1:$D$49,,0)</f>
        <v>2.5</v>
      </c>
      <c r="L885" s="5">
        <f>_xlfn.XLOOKUP(D885,products!$A$1:$A$49,products!$E$1:$E$49,,0)</f>
        <v>25.874999999999996</v>
      </c>
      <c r="M88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_xlfn.XLOOKUP(orders!D886,products!$A$1:$A$49,products!$B$1:$B$49,,0)</f>
        <v>Rob</v>
      </c>
      <c r="J886" t="str">
        <f>_xlfn.XLOOKUP(D886,products!$A$1:$A$49,products!$C$1:$C$49,,0)</f>
        <v>D</v>
      </c>
      <c r="K886" s="13">
        <f>_xlfn.XLOOKUP(D886,products!$A$1:$A$49,products!$D$1:$D$49,,0)</f>
        <v>0.5</v>
      </c>
      <c r="L886" s="5">
        <f>_xlfn.XLOOKUP(D886,products!$A$1:$A$49,products!$E$1:$E$49,,0)</f>
        <v>5.3699999999999992</v>
      </c>
      <c r="M886">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_xlfn.XLOOKUP(orders!D887,products!$A$1:$A$49,products!$B$1:$B$49,,0)</f>
        <v>Rob</v>
      </c>
      <c r="J887" t="str">
        <f>_xlfn.XLOOKUP(D887,products!$A$1:$A$49,products!$C$1:$C$49,,0)</f>
        <v>D</v>
      </c>
      <c r="K887" s="13">
        <f>_xlfn.XLOOKUP(D887,products!$A$1:$A$49,products!$D$1:$D$49,,0)</f>
        <v>2.5</v>
      </c>
      <c r="L887" s="5">
        <f>_xlfn.XLOOKUP(D887,products!$A$1:$A$49,products!$E$1:$E$49,,0)</f>
        <v>20.584999999999997</v>
      </c>
      <c r="M887">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_xlfn.XLOOKUP(orders!D888,products!$A$1:$A$49,products!$B$1:$B$49,,0)</f>
        <v>Lib</v>
      </c>
      <c r="J888" t="str">
        <f>_xlfn.XLOOKUP(D888,products!$A$1:$A$49,products!$C$1:$C$49,,0)</f>
        <v>M</v>
      </c>
      <c r="K888" s="13">
        <f>_xlfn.XLOOKUP(D888,products!$A$1:$A$49,products!$D$1:$D$49,,0)</f>
        <v>0.5</v>
      </c>
      <c r="L888" s="5">
        <f>_xlfn.XLOOKUP(D888,products!$A$1:$A$49,products!$E$1:$E$49,,0)</f>
        <v>8.73</v>
      </c>
      <c r="M888">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_xlfn.XLOOKUP(orders!D889,products!$A$1:$A$49,products!$B$1:$B$49,,0)</f>
        <v>Exc</v>
      </c>
      <c r="J889" t="str">
        <f>_xlfn.XLOOKUP(D889,products!$A$1:$A$49,products!$C$1:$C$49,,0)</f>
        <v>L</v>
      </c>
      <c r="K889" s="13">
        <f>_xlfn.XLOOKUP(D889,products!$A$1:$A$49,products!$D$1:$D$49,,0)</f>
        <v>0.2</v>
      </c>
      <c r="L889" s="5">
        <f>_xlfn.XLOOKUP(D889,products!$A$1:$A$49,products!$E$1:$E$49,,0)</f>
        <v>4.4550000000000001</v>
      </c>
      <c r="M889">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_xlfn.XLOOKUP(orders!D890,products!$A$1:$A$49,products!$B$1:$B$49,,0)</f>
        <v>Ara</v>
      </c>
      <c r="J890" t="str">
        <f>_xlfn.XLOOKUP(D890,products!$A$1:$A$49,products!$C$1:$C$49,,0)</f>
        <v>L</v>
      </c>
      <c r="K890" s="13">
        <f>_xlfn.XLOOKUP(D890,products!$A$1:$A$49,products!$D$1:$D$49,,0)</f>
        <v>0.2</v>
      </c>
      <c r="L890" s="5">
        <f>_xlfn.XLOOKUP(D890,products!$A$1:$A$49,products!$E$1:$E$49,,0)</f>
        <v>3.8849999999999998</v>
      </c>
      <c r="M890">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_xlfn.XLOOKUP(orders!D891,products!$A$1:$A$49,products!$B$1:$B$49,,0)</f>
        <v>Rob</v>
      </c>
      <c r="J891" t="str">
        <f>_xlfn.XLOOKUP(D891,products!$A$1:$A$49,products!$C$1:$C$49,,0)</f>
        <v>D</v>
      </c>
      <c r="K891" s="13">
        <f>_xlfn.XLOOKUP(D891,products!$A$1:$A$49,products!$D$1:$D$49,,0)</f>
        <v>0.2</v>
      </c>
      <c r="L891" s="5">
        <f>_xlfn.XLOOKUP(D891,products!$A$1:$A$49,products!$E$1:$E$49,,0)</f>
        <v>2.6849999999999996</v>
      </c>
      <c r="M891">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_xlfn.XLOOKUP(orders!D892,products!$A$1:$A$49,products!$B$1:$B$49,,0)</f>
        <v>Rob</v>
      </c>
      <c r="J892" t="str">
        <f>_xlfn.XLOOKUP(D892,products!$A$1:$A$49,products!$C$1:$C$49,,0)</f>
        <v>D</v>
      </c>
      <c r="K892" s="13">
        <f>_xlfn.XLOOKUP(D892,products!$A$1:$A$49,products!$D$1:$D$49,,0)</f>
        <v>2.5</v>
      </c>
      <c r="L892" s="5">
        <f>_xlfn.XLOOKUP(D892,products!$A$1:$A$49,products!$E$1:$E$49,,0)</f>
        <v>20.584999999999997</v>
      </c>
      <c r="M892">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_xlfn.XLOOKUP(orders!D893,products!$A$1:$A$49,products!$B$1:$B$49,,0)</f>
        <v>Ara</v>
      </c>
      <c r="J893" t="str">
        <f>_xlfn.XLOOKUP(D893,products!$A$1:$A$49,products!$C$1:$C$49,,0)</f>
        <v>D</v>
      </c>
      <c r="K893" s="13">
        <f>_xlfn.XLOOKUP(D893,products!$A$1:$A$49,products!$D$1:$D$49,,0)</f>
        <v>2.5</v>
      </c>
      <c r="L893" s="5">
        <f>_xlfn.XLOOKUP(D893,products!$A$1:$A$49,products!$E$1:$E$49,,0)</f>
        <v>22.884999999999998</v>
      </c>
      <c r="M893">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_xlfn.XLOOKUP(orders!D894,products!$A$1:$A$49,products!$B$1:$B$49,,0)</f>
        <v>Exc</v>
      </c>
      <c r="J894" t="str">
        <f>_xlfn.XLOOKUP(D894,products!$A$1:$A$49,products!$C$1:$C$49,,0)</f>
        <v>M</v>
      </c>
      <c r="K894" s="13">
        <f>_xlfn.XLOOKUP(D894,products!$A$1:$A$49,products!$D$1:$D$49,,0)</f>
        <v>0.2</v>
      </c>
      <c r="L894" s="5">
        <f>_xlfn.XLOOKUP(D894,products!$A$1:$A$49,products!$E$1:$E$49,,0)</f>
        <v>4.125</v>
      </c>
      <c r="M894">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_xlfn.XLOOKUP(orders!D895,products!$A$1:$A$49,products!$B$1:$B$49,,0)</f>
        <v>Lib</v>
      </c>
      <c r="J895" t="str">
        <f>_xlfn.XLOOKUP(D895,products!$A$1:$A$49,products!$C$1:$C$49,,0)</f>
        <v>L</v>
      </c>
      <c r="K895" s="13">
        <f>_xlfn.XLOOKUP(D895,products!$A$1:$A$49,products!$D$1:$D$49,,0)</f>
        <v>0.5</v>
      </c>
      <c r="L895" s="5">
        <f>_xlfn.XLOOKUP(D895,products!$A$1:$A$49,products!$E$1:$E$49,,0)</f>
        <v>9.51</v>
      </c>
      <c r="M89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_xlfn.XLOOKUP(orders!D896,products!$A$1:$A$49,products!$B$1:$B$49,,0)</f>
        <v>Rob</v>
      </c>
      <c r="J896" t="str">
        <f>_xlfn.XLOOKUP(D896,products!$A$1:$A$49,products!$C$1:$C$49,,0)</f>
        <v>D</v>
      </c>
      <c r="K896" s="13">
        <f>_xlfn.XLOOKUP(D896,products!$A$1:$A$49,products!$D$1:$D$49,,0)</f>
        <v>2.5</v>
      </c>
      <c r="L896" s="5">
        <f>_xlfn.XLOOKUP(D896,products!$A$1:$A$49,products!$E$1:$E$49,,0)</f>
        <v>20.584999999999997</v>
      </c>
      <c r="M896">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_xlfn.XLOOKUP(orders!D897,products!$A$1:$A$49,products!$B$1:$B$49,,0)</f>
        <v>Exc</v>
      </c>
      <c r="J897" t="str">
        <f>_xlfn.XLOOKUP(D897,products!$A$1:$A$49,products!$C$1:$C$49,,0)</f>
        <v>M</v>
      </c>
      <c r="K897" s="13">
        <f>_xlfn.XLOOKUP(D897,products!$A$1:$A$49,products!$D$1:$D$49,,0)</f>
        <v>2.5</v>
      </c>
      <c r="L897" s="5">
        <f>_xlfn.XLOOKUP(D897,products!$A$1:$A$49,products!$E$1:$E$49,,0)</f>
        <v>31.624999999999996</v>
      </c>
      <c r="M897">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_xlfn.XLOOKUP(orders!D898,products!$A$1:$A$49,products!$B$1:$B$49,,0)</f>
        <v>Rob</v>
      </c>
      <c r="J898" t="str">
        <f>_xlfn.XLOOKUP(D898,products!$A$1:$A$49,products!$C$1:$C$49,,0)</f>
        <v>D</v>
      </c>
      <c r="K898" s="13">
        <f>_xlfn.XLOOKUP(D898,products!$A$1:$A$49,products!$D$1:$D$49,,0)</f>
        <v>0.5</v>
      </c>
      <c r="L898" s="5">
        <f>_xlfn.XLOOKUP(D898,products!$A$1:$A$49,products!$E$1:$E$49,,0)</f>
        <v>5.3699999999999992</v>
      </c>
      <c r="M898">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_xlfn.XLOOKUP(orders!D899,products!$A$1:$A$49,products!$B$1:$B$49,,0)</f>
        <v>Exc</v>
      </c>
      <c r="J899" t="str">
        <f>_xlfn.XLOOKUP(D899,products!$A$1:$A$49,products!$C$1:$C$49,,0)</f>
        <v>D</v>
      </c>
      <c r="K899" s="13">
        <f>_xlfn.XLOOKUP(D899,products!$A$1:$A$49,products!$D$1:$D$49,,0)</f>
        <v>1</v>
      </c>
      <c r="L899" s="5">
        <f>_xlfn.XLOOKUP(D899,products!$A$1:$A$49,products!$E$1:$E$49,,0)</f>
        <v>12.15</v>
      </c>
      <c r="M899">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_xlfn.XLOOKUP(orders!D900,products!$A$1:$A$49,products!$B$1:$B$49,,0)</f>
        <v>Rob</v>
      </c>
      <c r="J900" t="str">
        <f>_xlfn.XLOOKUP(D900,products!$A$1:$A$49,products!$C$1:$C$49,,0)</f>
        <v>L</v>
      </c>
      <c r="K900" s="13">
        <f>_xlfn.XLOOKUP(D900,products!$A$1:$A$49,products!$D$1:$D$49,,0)</f>
        <v>0.5</v>
      </c>
      <c r="L900" s="5">
        <f>_xlfn.XLOOKUP(D900,products!$A$1:$A$49,products!$E$1:$E$49,,0)</f>
        <v>7.169999999999999</v>
      </c>
      <c r="M900">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_xlfn.XLOOKUP(orders!D901,products!$A$1:$A$49,products!$B$1:$B$49,,0)</f>
        <v>Lib</v>
      </c>
      <c r="J901" t="str">
        <f>_xlfn.XLOOKUP(D901,products!$A$1:$A$49,products!$C$1:$C$49,,0)</f>
        <v>M</v>
      </c>
      <c r="K901" s="13">
        <f>_xlfn.XLOOKUP(D901,products!$A$1:$A$49,products!$D$1:$D$49,,0)</f>
        <v>1</v>
      </c>
      <c r="L901" s="5">
        <f>_xlfn.XLOOKUP(D901,products!$A$1:$A$49,products!$E$1:$E$49,,0)</f>
        <v>14.55</v>
      </c>
      <c r="M901">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_xlfn.XLOOKUP(orders!D902,products!$A$1:$A$49,products!$B$1:$B$49,,0)</f>
        <v>Lib</v>
      </c>
      <c r="J902" t="str">
        <f>_xlfn.XLOOKUP(D902,products!$A$1:$A$49,products!$C$1:$C$49,,0)</f>
        <v>L</v>
      </c>
      <c r="K902" s="13">
        <f>_xlfn.XLOOKUP(D902,products!$A$1:$A$49,products!$D$1:$D$49,,0)</f>
        <v>1</v>
      </c>
      <c r="L902" s="5">
        <f>_xlfn.XLOOKUP(D902,products!$A$1:$A$49,products!$E$1:$E$49,,0)</f>
        <v>15.85</v>
      </c>
      <c r="M902">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_xlfn.XLOOKUP(orders!D903,products!$A$1:$A$49,products!$B$1:$B$49,,0)</f>
        <v>Rob</v>
      </c>
      <c r="J903" t="str">
        <f>_xlfn.XLOOKUP(D903,products!$A$1:$A$49,products!$C$1:$C$49,,0)</f>
        <v>L</v>
      </c>
      <c r="K903" s="13">
        <f>_xlfn.XLOOKUP(D903,products!$A$1:$A$49,products!$D$1:$D$49,,0)</f>
        <v>0.2</v>
      </c>
      <c r="L903" s="5">
        <f>_xlfn.XLOOKUP(D903,products!$A$1:$A$49,products!$E$1:$E$49,,0)</f>
        <v>3.5849999999999995</v>
      </c>
      <c r="M903">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_xlfn.XLOOKUP(orders!D904,products!$A$1:$A$49,products!$B$1:$B$49,,0)</f>
        <v>Exc</v>
      </c>
      <c r="J904" t="str">
        <f>_xlfn.XLOOKUP(D904,products!$A$1:$A$49,products!$C$1:$C$49,,0)</f>
        <v>M</v>
      </c>
      <c r="K904" s="13">
        <f>_xlfn.XLOOKUP(D904,products!$A$1:$A$49,products!$D$1:$D$49,,0)</f>
        <v>2.5</v>
      </c>
      <c r="L904" s="5">
        <f>_xlfn.XLOOKUP(D904,products!$A$1:$A$49,products!$E$1:$E$49,,0)</f>
        <v>31.624999999999996</v>
      </c>
      <c r="M904">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_xlfn.XLOOKUP(orders!D905,products!$A$1:$A$49,products!$B$1:$B$49,,0)</f>
        <v>Lib</v>
      </c>
      <c r="J905" t="str">
        <f>_xlfn.XLOOKUP(D905,products!$A$1:$A$49,products!$C$1:$C$49,,0)</f>
        <v>M</v>
      </c>
      <c r="K905" s="13">
        <f>_xlfn.XLOOKUP(D905,products!$A$1:$A$49,products!$D$1:$D$49,,0)</f>
        <v>0.5</v>
      </c>
      <c r="L905" s="5">
        <f>_xlfn.XLOOKUP(D905,products!$A$1:$A$49,products!$E$1:$E$49,,0)</f>
        <v>8.73</v>
      </c>
      <c r="M90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_xlfn.XLOOKUP(orders!D906,products!$A$1:$A$49,products!$B$1:$B$49,,0)</f>
        <v>Ara</v>
      </c>
      <c r="J906" t="str">
        <f>_xlfn.XLOOKUP(D906,products!$A$1:$A$49,products!$C$1:$C$49,,0)</f>
        <v>L</v>
      </c>
      <c r="K906" s="13">
        <f>_xlfn.XLOOKUP(D906,products!$A$1:$A$49,products!$D$1:$D$49,,0)</f>
        <v>2.5</v>
      </c>
      <c r="L906" s="5">
        <f>_xlfn.XLOOKUP(D906,products!$A$1:$A$49,products!$E$1:$E$49,,0)</f>
        <v>29.784999999999997</v>
      </c>
      <c r="M906">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_xlfn.XLOOKUP(orders!D907,products!$A$1:$A$49,products!$B$1:$B$49,,0)</f>
        <v>Ara</v>
      </c>
      <c r="J907" t="str">
        <f>_xlfn.XLOOKUP(D907,products!$A$1:$A$49,products!$C$1:$C$49,,0)</f>
        <v>M</v>
      </c>
      <c r="K907" s="13">
        <f>_xlfn.XLOOKUP(D907,products!$A$1:$A$49,products!$D$1:$D$49,,0)</f>
        <v>0.5</v>
      </c>
      <c r="L907" s="5">
        <f>_xlfn.XLOOKUP(D907,products!$A$1:$A$49,products!$E$1:$E$49,,0)</f>
        <v>6.75</v>
      </c>
      <c r="M907">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_xlfn.XLOOKUP(orders!D908,products!$A$1:$A$49,products!$B$1:$B$49,,0)</f>
        <v>Ara</v>
      </c>
      <c r="J908" t="str">
        <f>_xlfn.XLOOKUP(D908,products!$A$1:$A$49,products!$C$1:$C$49,,0)</f>
        <v>M</v>
      </c>
      <c r="K908" s="13">
        <f>_xlfn.XLOOKUP(D908,products!$A$1:$A$49,products!$D$1:$D$49,,0)</f>
        <v>0.5</v>
      </c>
      <c r="L908" s="5">
        <f>_xlfn.XLOOKUP(D908,products!$A$1:$A$49,products!$E$1:$E$49,,0)</f>
        <v>6.75</v>
      </c>
      <c r="M908">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_xlfn.XLOOKUP(orders!D909,products!$A$1:$A$49,products!$B$1:$B$49,,0)</f>
        <v>Lib</v>
      </c>
      <c r="J909" t="str">
        <f>_xlfn.XLOOKUP(D909,products!$A$1:$A$49,products!$C$1:$C$49,,0)</f>
        <v>D</v>
      </c>
      <c r="K909" s="13">
        <f>_xlfn.XLOOKUP(D909,products!$A$1:$A$49,products!$D$1:$D$49,,0)</f>
        <v>1</v>
      </c>
      <c r="L909" s="5">
        <f>_xlfn.XLOOKUP(D909,products!$A$1:$A$49,products!$E$1:$E$49,,0)</f>
        <v>12.95</v>
      </c>
      <c r="M909">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_xlfn.XLOOKUP(orders!D910,products!$A$1:$A$49,products!$B$1:$B$49,,0)</f>
        <v>Rob</v>
      </c>
      <c r="J910" t="str">
        <f>_xlfn.XLOOKUP(D910,products!$A$1:$A$49,products!$C$1:$C$49,,0)</f>
        <v>L</v>
      </c>
      <c r="K910" s="13">
        <f>_xlfn.XLOOKUP(D910,products!$A$1:$A$49,products!$D$1:$D$49,,0)</f>
        <v>1</v>
      </c>
      <c r="L910" s="5">
        <f>_xlfn.XLOOKUP(D910,products!$A$1:$A$49,products!$E$1:$E$49,,0)</f>
        <v>11.95</v>
      </c>
      <c r="M910">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_xlfn.XLOOKUP(orders!D911,products!$A$1:$A$49,products!$B$1:$B$49,,0)</f>
        <v>Rob</v>
      </c>
      <c r="J911" t="str">
        <f>_xlfn.XLOOKUP(D911,products!$A$1:$A$49,products!$C$1:$C$49,,0)</f>
        <v>L</v>
      </c>
      <c r="K911" s="13">
        <f>_xlfn.XLOOKUP(D911,products!$A$1:$A$49,products!$D$1:$D$49,,0)</f>
        <v>0.2</v>
      </c>
      <c r="L911" s="5">
        <f>_xlfn.XLOOKUP(D911,products!$A$1:$A$49,products!$E$1:$E$49,,0)</f>
        <v>3.5849999999999995</v>
      </c>
      <c r="M911">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_xlfn.XLOOKUP(orders!D912,products!$A$1:$A$49,products!$B$1:$B$49,,0)</f>
        <v>Ara</v>
      </c>
      <c r="J912" t="str">
        <f>_xlfn.XLOOKUP(D912,products!$A$1:$A$49,products!$C$1:$C$49,,0)</f>
        <v>D</v>
      </c>
      <c r="K912" s="13">
        <f>_xlfn.XLOOKUP(D912,products!$A$1:$A$49,products!$D$1:$D$49,,0)</f>
        <v>2.5</v>
      </c>
      <c r="L912" s="5">
        <f>_xlfn.XLOOKUP(D912,products!$A$1:$A$49,products!$E$1:$E$49,,0)</f>
        <v>22.884999999999998</v>
      </c>
      <c r="M912">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_xlfn.XLOOKUP(orders!D913,products!$A$1:$A$49,products!$B$1:$B$49,,0)</f>
        <v>Ara</v>
      </c>
      <c r="J913" t="str">
        <f>_xlfn.XLOOKUP(D913,products!$A$1:$A$49,products!$C$1:$C$49,,0)</f>
        <v>M</v>
      </c>
      <c r="K913" s="13">
        <f>_xlfn.XLOOKUP(D913,products!$A$1:$A$49,products!$D$1:$D$49,,0)</f>
        <v>1</v>
      </c>
      <c r="L913" s="5">
        <f>_xlfn.XLOOKUP(D913,products!$A$1:$A$49,products!$E$1:$E$49,,0)</f>
        <v>11.25</v>
      </c>
      <c r="M913">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_xlfn.XLOOKUP(orders!D914,products!$A$1:$A$49,products!$B$1:$B$49,,0)</f>
        <v>Rob</v>
      </c>
      <c r="J914" t="str">
        <f>_xlfn.XLOOKUP(D914,products!$A$1:$A$49,products!$C$1:$C$49,,0)</f>
        <v>M</v>
      </c>
      <c r="K914" s="13">
        <f>_xlfn.XLOOKUP(D914,products!$A$1:$A$49,products!$D$1:$D$49,,0)</f>
        <v>2.5</v>
      </c>
      <c r="L914" s="5">
        <f>_xlfn.XLOOKUP(D914,products!$A$1:$A$49,products!$E$1:$E$49,,0)</f>
        <v>22.884999999999998</v>
      </c>
      <c r="M914">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_xlfn.XLOOKUP(orders!D915,products!$A$1:$A$49,products!$B$1:$B$49,,0)</f>
        <v>Ara</v>
      </c>
      <c r="J915" t="str">
        <f>_xlfn.XLOOKUP(D915,products!$A$1:$A$49,products!$C$1:$C$49,,0)</f>
        <v>M</v>
      </c>
      <c r="K915" s="13">
        <f>_xlfn.XLOOKUP(D915,products!$A$1:$A$49,products!$D$1:$D$49,,0)</f>
        <v>0.5</v>
      </c>
      <c r="L915" s="5">
        <f>_xlfn.XLOOKUP(D915,products!$A$1:$A$49,products!$E$1:$E$49,,0)</f>
        <v>6.75</v>
      </c>
      <c r="M91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_xlfn.XLOOKUP(orders!D916,products!$A$1:$A$49,products!$B$1:$B$49,,0)</f>
        <v>Ara</v>
      </c>
      <c r="J916" t="str">
        <f>_xlfn.XLOOKUP(D916,products!$A$1:$A$49,products!$C$1:$C$49,,0)</f>
        <v>M</v>
      </c>
      <c r="K916" s="13">
        <f>_xlfn.XLOOKUP(D916,products!$A$1:$A$49,products!$D$1:$D$49,,0)</f>
        <v>1</v>
      </c>
      <c r="L916" s="5">
        <f>_xlfn.XLOOKUP(D916,products!$A$1:$A$49,products!$E$1:$E$49,,0)</f>
        <v>11.25</v>
      </c>
      <c r="M916">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_xlfn.XLOOKUP(orders!D917,products!$A$1:$A$49,products!$B$1:$B$49,,0)</f>
        <v>Exc</v>
      </c>
      <c r="J917" t="str">
        <f>_xlfn.XLOOKUP(D917,products!$A$1:$A$49,products!$C$1:$C$49,,0)</f>
        <v>D</v>
      </c>
      <c r="K917" s="13">
        <f>_xlfn.XLOOKUP(D917,products!$A$1:$A$49,products!$D$1:$D$49,,0)</f>
        <v>2.5</v>
      </c>
      <c r="L917" s="5">
        <f>_xlfn.XLOOKUP(D917,products!$A$1:$A$49,products!$E$1:$E$49,,0)</f>
        <v>27.945</v>
      </c>
      <c r="M917">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_xlfn.XLOOKUP(orders!D918,products!$A$1:$A$49,products!$B$1:$B$49,,0)</f>
        <v>Exc</v>
      </c>
      <c r="J918" t="str">
        <f>_xlfn.XLOOKUP(D918,products!$A$1:$A$49,products!$C$1:$C$49,,0)</f>
        <v>D</v>
      </c>
      <c r="K918" s="13">
        <f>_xlfn.XLOOKUP(D918,products!$A$1:$A$49,products!$D$1:$D$49,,0)</f>
        <v>0.2</v>
      </c>
      <c r="L918" s="5">
        <f>_xlfn.XLOOKUP(D918,products!$A$1:$A$49,products!$E$1:$E$49,,0)</f>
        <v>3.645</v>
      </c>
      <c r="M918">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_xlfn.XLOOKUP(orders!D919,products!$A$1:$A$49,products!$B$1:$B$49,,0)</f>
        <v>Ara</v>
      </c>
      <c r="J919" t="str">
        <f>_xlfn.XLOOKUP(D919,products!$A$1:$A$49,products!$C$1:$C$49,,0)</f>
        <v>M</v>
      </c>
      <c r="K919" s="13">
        <f>_xlfn.XLOOKUP(D919,products!$A$1:$A$49,products!$D$1:$D$49,,0)</f>
        <v>0.5</v>
      </c>
      <c r="L919" s="5">
        <f>_xlfn.XLOOKUP(D919,products!$A$1:$A$49,products!$E$1:$E$49,,0)</f>
        <v>6.75</v>
      </c>
      <c r="M919">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_xlfn.XLOOKUP(orders!D920,products!$A$1:$A$49,products!$B$1:$B$49,,0)</f>
        <v>Exc</v>
      </c>
      <c r="J920" t="str">
        <f>_xlfn.XLOOKUP(D920,products!$A$1:$A$49,products!$C$1:$C$49,,0)</f>
        <v>D</v>
      </c>
      <c r="K920" s="13">
        <f>_xlfn.XLOOKUP(D920,products!$A$1:$A$49,products!$D$1:$D$49,,0)</f>
        <v>0.5</v>
      </c>
      <c r="L920" s="5">
        <f>_xlfn.XLOOKUP(D920,products!$A$1:$A$49,products!$E$1:$E$49,,0)</f>
        <v>7.29</v>
      </c>
      <c r="M920">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_xlfn.XLOOKUP(orders!D921,products!$A$1:$A$49,products!$B$1:$B$49,,0)</f>
        <v>Rob</v>
      </c>
      <c r="J921" t="str">
        <f>_xlfn.XLOOKUP(D921,products!$A$1:$A$49,products!$C$1:$C$49,,0)</f>
        <v>D</v>
      </c>
      <c r="K921" s="13">
        <f>_xlfn.XLOOKUP(D921,products!$A$1:$A$49,products!$D$1:$D$49,,0)</f>
        <v>0.2</v>
      </c>
      <c r="L921" s="5">
        <f>_xlfn.XLOOKUP(D921,products!$A$1:$A$49,products!$E$1:$E$49,,0)</f>
        <v>2.6849999999999996</v>
      </c>
      <c r="M921">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_xlfn.XLOOKUP(orders!D922,products!$A$1:$A$49,products!$B$1:$B$49,,0)</f>
        <v>Rob</v>
      </c>
      <c r="J922" t="str">
        <f>_xlfn.XLOOKUP(D922,products!$A$1:$A$49,products!$C$1:$C$49,,0)</f>
        <v>D</v>
      </c>
      <c r="K922" s="13">
        <f>_xlfn.XLOOKUP(D922,products!$A$1:$A$49,products!$D$1:$D$49,,0)</f>
        <v>2.5</v>
      </c>
      <c r="L922" s="5">
        <f>_xlfn.XLOOKUP(D922,products!$A$1:$A$49,products!$E$1:$E$49,,0)</f>
        <v>20.584999999999997</v>
      </c>
      <c r="M922">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_xlfn.XLOOKUP(orders!D923,products!$A$1:$A$49,products!$B$1:$B$49,,0)</f>
        <v>Lib</v>
      </c>
      <c r="J923" t="str">
        <f>_xlfn.XLOOKUP(D923,products!$A$1:$A$49,products!$C$1:$C$49,,0)</f>
        <v>D</v>
      </c>
      <c r="K923" s="13">
        <f>_xlfn.XLOOKUP(D923,products!$A$1:$A$49,products!$D$1:$D$49,,0)</f>
        <v>0.2</v>
      </c>
      <c r="L923" s="5">
        <f>_xlfn.XLOOKUP(D923,products!$A$1:$A$49,products!$E$1:$E$49,,0)</f>
        <v>3.8849999999999998</v>
      </c>
      <c r="M923">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_xlfn.XLOOKUP(orders!D924,products!$A$1:$A$49,products!$B$1:$B$49,,0)</f>
        <v>Ara</v>
      </c>
      <c r="J924" t="str">
        <f>_xlfn.XLOOKUP(D924,products!$A$1:$A$49,products!$C$1:$C$49,,0)</f>
        <v>M</v>
      </c>
      <c r="K924" s="13">
        <f>_xlfn.XLOOKUP(D924,products!$A$1:$A$49,products!$D$1:$D$49,,0)</f>
        <v>1</v>
      </c>
      <c r="L924" s="5">
        <f>_xlfn.XLOOKUP(D924,products!$A$1:$A$49,products!$E$1:$E$49,,0)</f>
        <v>11.25</v>
      </c>
      <c r="M924">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_xlfn.XLOOKUP(orders!D925,products!$A$1:$A$49,products!$B$1:$B$49,,0)</f>
        <v>Exc</v>
      </c>
      <c r="J925" t="str">
        <f>_xlfn.XLOOKUP(D925,products!$A$1:$A$49,products!$C$1:$C$49,,0)</f>
        <v>D</v>
      </c>
      <c r="K925" s="13">
        <f>_xlfn.XLOOKUP(D925,products!$A$1:$A$49,products!$D$1:$D$49,,0)</f>
        <v>2.5</v>
      </c>
      <c r="L925" s="5">
        <f>_xlfn.XLOOKUP(D925,products!$A$1:$A$49,products!$E$1:$E$49,,0)</f>
        <v>27.945</v>
      </c>
      <c r="M92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_xlfn.XLOOKUP(orders!D926,products!$A$1:$A$49,products!$B$1:$B$49,,0)</f>
        <v>Ara</v>
      </c>
      <c r="J926" t="str">
        <f>_xlfn.XLOOKUP(D926,products!$A$1:$A$49,products!$C$1:$C$49,,0)</f>
        <v>L</v>
      </c>
      <c r="K926" s="13">
        <f>_xlfn.XLOOKUP(D926,products!$A$1:$A$49,products!$D$1:$D$49,,0)</f>
        <v>2.5</v>
      </c>
      <c r="L926" s="5">
        <f>_xlfn.XLOOKUP(D926,products!$A$1:$A$49,products!$E$1:$E$49,,0)</f>
        <v>29.784999999999997</v>
      </c>
      <c r="M926">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_xlfn.XLOOKUP(orders!D927,products!$A$1:$A$49,products!$B$1:$B$49,,0)</f>
        <v>Ara</v>
      </c>
      <c r="J927" t="str">
        <f>_xlfn.XLOOKUP(D927,products!$A$1:$A$49,products!$C$1:$C$49,,0)</f>
        <v>M</v>
      </c>
      <c r="K927" s="13">
        <f>_xlfn.XLOOKUP(D927,products!$A$1:$A$49,products!$D$1:$D$49,,0)</f>
        <v>0.5</v>
      </c>
      <c r="L927" s="5">
        <f>_xlfn.XLOOKUP(D927,products!$A$1:$A$49,products!$E$1:$E$49,,0)</f>
        <v>6.75</v>
      </c>
      <c r="M927">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_xlfn.XLOOKUP(orders!D928,products!$A$1:$A$49,products!$B$1:$B$49,,0)</f>
        <v>Ara</v>
      </c>
      <c r="J928" t="str">
        <f>_xlfn.XLOOKUP(D928,products!$A$1:$A$49,products!$C$1:$C$49,,0)</f>
        <v>M</v>
      </c>
      <c r="K928" s="13">
        <f>_xlfn.XLOOKUP(D928,products!$A$1:$A$49,products!$D$1:$D$49,,0)</f>
        <v>0.5</v>
      </c>
      <c r="L928" s="5">
        <f>_xlfn.XLOOKUP(D928,products!$A$1:$A$49,products!$E$1:$E$49,,0)</f>
        <v>6.75</v>
      </c>
      <c r="M928">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_xlfn.XLOOKUP(orders!D929,products!$A$1:$A$49,products!$B$1:$B$49,,0)</f>
        <v>Exc</v>
      </c>
      <c r="J929" t="str">
        <f>_xlfn.XLOOKUP(D929,products!$A$1:$A$49,products!$C$1:$C$49,,0)</f>
        <v>D</v>
      </c>
      <c r="K929" s="13">
        <f>_xlfn.XLOOKUP(D929,products!$A$1:$A$49,products!$D$1:$D$49,,0)</f>
        <v>2.5</v>
      </c>
      <c r="L929" s="5">
        <f>_xlfn.XLOOKUP(D929,products!$A$1:$A$49,products!$E$1:$E$49,,0)</f>
        <v>27.945</v>
      </c>
      <c r="M929">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_xlfn.XLOOKUP(orders!D930,products!$A$1:$A$49,products!$B$1:$B$49,,0)</f>
        <v>Exc</v>
      </c>
      <c r="J930" t="str">
        <f>_xlfn.XLOOKUP(D930,products!$A$1:$A$49,products!$C$1:$C$49,,0)</f>
        <v>M</v>
      </c>
      <c r="K930" s="13">
        <f>_xlfn.XLOOKUP(D930,products!$A$1:$A$49,products!$D$1:$D$49,,0)</f>
        <v>2.5</v>
      </c>
      <c r="L930" s="5">
        <f>_xlfn.XLOOKUP(D930,products!$A$1:$A$49,products!$E$1:$E$49,,0)</f>
        <v>31.624999999999996</v>
      </c>
      <c r="M930">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_xlfn.XLOOKUP(orders!D931,products!$A$1:$A$49,products!$B$1:$B$49,,0)</f>
        <v>Exc</v>
      </c>
      <c r="J931" t="str">
        <f>_xlfn.XLOOKUP(D931,products!$A$1:$A$49,products!$C$1:$C$49,,0)</f>
        <v>L</v>
      </c>
      <c r="K931" s="13">
        <f>_xlfn.XLOOKUP(D931,products!$A$1:$A$49,products!$D$1:$D$49,,0)</f>
        <v>0.2</v>
      </c>
      <c r="L931" s="5">
        <f>_xlfn.XLOOKUP(D931,products!$A$1:$A$49,products!$E$1:$E$49,,0)</f>
        <v>4.4550000000000001</v>
      </c>
      <c r="M931">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_xlfn.XLOOKUP(orders!D932,products!$A$1:$A$49,products!$B$1:$B$49,,0)</f>
        <v>Exc</v>
      </c>
      <c r="J932" t="str">
        <f>_xlfn.XLOOKUP(D932,products!$A$1:$A$49,products!$C$1:$C$49,,0)</f>
        <v>D</v>
      </c>
      <c r="K932" s="13">
        <f>_xlfn.XLOOKUP(D932,products!$A$1:$A$49,products!$D$1:$D$49,,0)</f>
        <v>1</v>
      </c>
      <c r="L932" s="5">
        <f>_xlfn.XLOOKUP(D932,products!$A$1:$A$49,products!$E$1:$E$49,,0)</f>
        <v>12.15</v>
      </c>
      <c r="M932">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_xlfn.XLOOKUP(orders!D933,products!$A$1:$A$49,products!$B$1:$B$49,,0)</f>
        <v>Ara</v>
      </c>
      <c r="J933" t="str">
        <f>_xlfn.XLOOKUP(D933,products!$A$1:$A$49,products!$C$1:$C$49,,0)</f>
        <v>D</v>
      </c>
      <c r="K933" s="13">
        <f>_xlfn.XLOOKUP(D933,products!$A$1:$A$49,products!$D$1:$D$49,,0)</f>
        <v>0.5</v>
      </c>
      <c r="L933" s="5">
        <f>_xlfn.XLOOKUP(D933,products!$A$1:$A$49,products!$E$1:$E$49,,0)</f>
        <v>5.97</v>
      </c>
      <c r="M933">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_xlfn.XLOOKUP(orders!D934,products!$A$1:$A$49,products!$B$1:$B$49,,0)</f>
        <v>Exc</v>
      </c>
      <c r="J934" t="str">
        <f>_xlfn.XLOOKUP(D934,products!$A$1:$A$49,products!$C$1:$C$49,,0)</f>
        <v>M</v>
      </c>
      <c r="K934" s="13">
        <f>_xlfn.XLOOKUP(D934,products!$A$1:$A$49,products!$D$1:$D$49,,0)</f>
        <v>1</v>
      </c>
      <c r="L934" s="5">
        <f>_xlfn.XLOOKUP(D934,products!$A$1:$A$49,products!$E$1:$E$49,,0)</f>
        <v>13.75</v>
      </c>
      <c r="M934">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_xlfn.XLOOKUP(orders!D935,products!$A$1:$A$49,products!$B$1:$B$49,,0)</f>
        <v>Rob</v>
      </c>
      <c r="J935" t="str">
        <f>_xlfn.XLOOKUP(D935,products!$A$1:$A$49,products!$C$1:$C$49,,0)</f>
        <v>D</v>
      </c>
      <c r="K935" s="13">
        <f>_xlfn.XLOOKUP(D935,products!$A$1:$A$49,products!$D$1:$D$49,,0)</f>
        <v>1</v>
      </c>
      <c r="L935" s="5">
        <f>_xlfn.XLOOKUP(D935,products!$A$1:$A$49,products!$E$1:$E$49,,0)</f>
        <v>8.9499999999999993</v>
      </c>
      <c r="M93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_xlfn.XLOOKUP(orders!D936,products!$A$1:$A$49,products!$B$1:$B$49,,0)</f>
        <v>Rob</v>
      </c>
      <c r="J936" t="str">
        <f>_xlfn.XLOOKUP(D936,products!$A$1:$A$49,products!$C$1:$C$49,,0)</f>
        <v>M</v>
      </c>
      <c r="K936" s="13">
        <f>_xlfn.XLOOKUP(D936,products!$A$1:$A$49,products!$D$1:$D$49,,0)</f>
        <v>2.5</v>
      </c>
      <c r="L936" s="5">
        <f>_xlfn.XLOOKUP(D936,products!$A$1:$A$49,products!$E$1:$E$49,,0)</f>
        <v>22.884999999999998</v>
      </c>
      <c r="M936">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_xlfn.XLOOKUP(orders!D937,products!$A$1:$A$49,products!$B$1:$B$49,,0)</f>
        <v>Ara</v>
      </c>
      <c r="J937" t="str">
        <f>_xlfn.XLOOKUP(D937,products!$A$1:$A$49,products!$C$1:$C$49,,0)</f>
        <v>M</v>
      </c>
      <c r="K937" s="13">
        <f>_xlfn.XLOOKUP(D937,products!$A$1:$A$49,products!$D$1:$D$49,,0)</f>
        <v>2.5</v>
      </c>
      <c r="L937" s="5">
        <f>_xlfn.XLOOKUP(D937,products!$A$1:$A$49,products!$E$1:$E$49,,0)</f>
        <v>25.874999999999996</v>
      </c>
      <c r="M937">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_xlfn.XLOOKUP(orders!D938,products!$A$1:$A$49,products!$B$1:$B$49,,0)</f>
        <v>Lib</v>
      </c>
      <c r="J938" t="str">
        <f>_xlfn.XLOOKUP(D938,products!$A$1:$A$49,products!$C$1:$C$49,,0)</f>
        <v>D</v>
      </c>
      <c r="K938" s="13">
        <f>_xlfn.XLOOKUP(D938,products!$A$1:$A$49,products!$D$1:$D$49,,0)</f>
        <v>0.5</v>
      </c>
      <c r="L938" s="5">
        <f>_xlfn.XLOOKUP(D938,products!$A$1:$A$49,products!$E$1:$E$49,,0)</f>
        <v>7.77</v>
      </c>
      <c r="M938">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_xlfn.XLOOKUP(orders!D939,products!$A$1:$A$49,products!$B$1:$B$49,,0)</f>
        <v>Rob</v>
      </c>
      <c r="J939" t="str">
        <f>_xlfn.XLOOKUP(D939,products!$A$1:$A$49,products!$C$1:$C$49,,0)</f>
        <v>M</v>
      </c>
      <c r="K939" s="13">
        <f>_xlfn.XLOOKUP(D939,products!$A$1:$A$49,products!$D$1:$D$49,,0)</f>
        <v>2.5</v>
      </c>
      <c r="L939" s="5">
        <f>_xlfn.XLOOKUP(D939,products!$A$1:$A$49,products!$E$1:$E$49,,0)</f>
        <v>22.884999999999998</v>
      </c>
      <c r="M939">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_xlfn.XLOOKUP(orders!D940,products!$A$1:$A$49,products!$B$1:$B$49,,0)</f>
        <v>Exc</v>
      </c>
      <c r="J940" t="str">
        <f>_xlfn.XLOOKUP(D940,products!$A$1:$A$49,products!$C$1:$C$49,,0)</f>
        <v>L</v>
      </c>
      <c r="K940" s="13">
        <f>_xlfn.XLOOKUP(D940,products!$A$1:$A$49,products!$D$1:$D$49,,0)</f>
        <v>1</v>
      </c>
      <c r="L940" s="5">
        <f>_xlfn.XLOOKUP(D940,products!$A$1:$A$49,products!$E$1:$E$49,,0)</f>
        <v>14.85</v>
      </c>
      <c r="M940">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_xlfn.XLOOKUP(orders!D941,products!$A$1:$A$49,products!$B$1:$B$49,,0)</f>
        <v>Lib</v>
      </c>
      <c r="J941" t="str">
        <f>_xlfn.XLOOKUP(D941,products!$A$1:$A$49,products!$C$1:$C$49,,0)</f>
        <v>L</v>
      </c>
      <c r="K941" s="13">
        <f>_xlfn.XLOOKUP(D941,products!$A$1:$A$49,products!$D$1:$D$49,,0)</f>
        <v>0.2</v>
      </c>
      <c r="L941" s="5">
        <f>_xlfn.XLOOKUP(D941,products!$A$1:$A$49,products!$E$1:$E$49,,0)</f>
        <v>4.7549999999999999</v>
      </c>
      <c r="M941">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_xlfn.XLOOKUP(orders!D942,products!$A$1:$A$49,products!$B$1:$B$49,,0)</f>
        <v>Rob</v>
      </c>
      <c r="J942" t="str">
        <f>_xlfn.XLOOKUP(D942,products!$A$1:$A$49,products!$C$1:$C$49,,0)</f>
        <v>L</v>
      </c>
      <c r="K942" s="13">
        <f>_xlfn.XLOOKUP(D942,products!$A$1:$A$49,products!$D$1:$D$49,,0)</f>
        <v>0.5</v>
      </c>
      <c r="L942" s="5">
        <f>_xlfn.XLOOKUP(D942,products!$A$1:$A$49,products!$E$1:$E$49,,0)</f>
        <v>7.169999999999999</v>
      </c>
      <c r="M942">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_xlfn.XLOOKUP(orders!D943,products!$A$1:$A$49,products!$B$1:$B$49,,0)</f>
        <v>Ara</v>
      </c>
      <c r="J943" t="str">
        <f>_xlfn.XLOOKUP(D943,products!$A$1:$A$49,products!$C$1:$C$49,,0)</f>
        <v>L</v>
      </c>
      <c r="K943" s="13">
        <f>_xlfn.XLOOKUP(D943,products!$A$1:$A$49,products!$D$1:$D$49,,0)</f>
        <v>0.5</v>
      </c>
      <c r="L943" s="5">
        <f>_xlfn.XLOOKUP(D943,products!$A$1:$A$49,products!$E$1:$E$49,,0)</f>
        <v>7.77</v>
      </c>
      <c r="M943">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_xlfn.XLOOKUP(orders!D944,products!$A$1:$A$49,products!$B$1:$B$49,,0)</f>
        <v>Rob</v>
      </c>
      <c r="J944" t="str">
        <f>_xlfn.XLOOKUP(D944,products!$A$1:$A$49,products!$C$1:$C$49,,0)</f>
        <v>L</v>
      </c>
      <c r="K944" s="13">
        <f>_xlfn.XLOOKUP(D944,products!$A$1:$A$49,products!$D$1:$D$49,,0)</f>
        <v>1</v>
      </c>
      <c r="L944" s="5">
        <f>_xlfn.XLOOKUP(D944,products!$A$1:$A$49,products!$E$1:$E$49,,0)</f>
        <v>11.95</v>
      </c>
      <c r="M944">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_xlfn.XLOOKUP(orders!D945,products!$A$1:$A$49,products!$B$1:$B$49,,0)</f>
        <v>Ara</v>
      </c>
      <c r="J945" t="str">
        <f>_xlfn.XLOOKUP(D945,products!$A$1:$A$49,products!$C$1:$C$49,,0)</f>
        <v>L</v>
      </c>
      <c r="K945" s="13">
        <f>_xlfn.XLOOKUP(D945,products!$A$1:$A$49,products!$D$1:$D$49,,0)</f>
        <v>0.5</v>
      </c>
      <c r="L945" s="5">
        <f>_xlfn.XLOOKUP(D945,products!$A$1:$A$49,products!$E$1:$E$49,,0)</f>
        <v>7.77</v>
      </c>
      <c r="M94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_xlfn.XLOOKUP(orders!D946,products!$A$1:$A$49,products!$B$1:$B$49,,0)</f>
        <v>Rob</v>
      </c>
      <c r="J946" t="str">
        <f>_xlfn.XLOOKUP(D946,products!$A$1:$A$49,products!$C$1:$C$49,,0)</f>
        <v>L</v>
      </c>
      <c r="K946" s="13">
        <f>_xlfn.XLOOKUP(D946,products!$A$1:$A$49,products!$D$1:$D$49,,0)</f>
        <v>0.5</v>
      </c>
      <c r="L946" s="5">
        <f>_xlfn.XLOOKUP(D946,products!$A$1:$A$49,products!$E$1:$E$49,,0)</f>
        <v>7.169999999999999</v>
      </c>
      <c r="M946">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_xlfn.XLOOKUP(orders!D947,products!$A$1:$A$49,products!$B$1:$B$49,,0)</f>
        <v>Lib</v>
      </c>
      <c r="J947" t="str">
        <f>_xlfn.XLOOKUP(D947,products!$A$1:$A$49,products!$C$1:$C$49,,0)</f>
        <v>D</v>
      </c>
      <c r="K947" s="13">
        <f>_xlfn.XLOOKUP(D947,products!$A$1:$A$49,products!$D$1:$D$49,,0)</f>
        <v>2.5</v>
      </c>
      <c r="L947" s="5">
        <f>_xlfn.XLOOKUP(D947,products!$A$1:$A$49,products!$E$1:$E$49,,0)</f>
        <v>29.784999999999997</v>
      </c>
      <c r="M947">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_xlfn.XLOOKUP(orders!D948,products!$A$1:$A$49,products!$B$1:$B$49,,0)</f>
        <v>Lib</v>
      </c>
      <c r="J948" t="str">
        <f>_xlfn.XLOOKUP(D948,products!$A$1:$A$49,products!$C$1:$C$49,,0)</f>
        <v>D</v>
      </c>
      <c r="K948" s="13">
        <f>_xlfn.XLOOKUP(D948,products!$A$1:$A$49,products!$D$1:$D$49,,0)</f>
        <v>0.5</v>
      </c>
      <c r="L948" s="5">
        <f>_xlfn.XLOOKUP(D948,products!$A$1:$A$49,products!$E$1:$E$49,,0)</f>
        <v>7.77</v>
      </c>
      <c r="M948">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_xlfn.XLOOKUP(orders!D949,products!$A$1:$A$49,products!$B$1:$B$49,,0)</f>
        <v>Ara</v>
      </c>
      <c r="J949" t="str">
        <f>_xlfn.XLOOKUP(D949,products!$A$1:$A$49,products!$C$1:$C$49,,0)</f>
        <v>M</v>
      </c>
      <c r="K949" s="13">
        <f>_xlfn.XLOOKUP(D949,products!$A$1:$A$49,products!$D$1:$D$49,,0)</f>
        <v>1</v>
      </c>
      <c r="L949" s="5">
        <f>_xlfn.XLOOKUP(D949,products!$A$1:$A$49,products!$E$1:$E$49,,0)</f>
        <v>11.25</v>
      </c>
      <c r="M949">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_xlfn.XLOOKUP(orders!D950,products!$A$1:$A$49,products!$B$1:$B$49,,0)</f>
        <v>Exc</v>
      </c>
      <c r="J950" t="str">
        <f>_xlfn.XLOOKUP(D950,products!$A$1:$A$49,products!$C$1:$C$49,,0)</f>
        <v>D</v>
      </c>
      <c r="K950" s="13">
        <f>_xlfn.XLOOKUP(D950,products!$A$1:$A$49,products!$D$1:$D$49,,0)</f>
        <v>2.5</v>
      </c>
      <c r="L950" s="5">
        <f>_xlfn.XLOOKUP(D950,products!$A$1:$A$49,products!$E$1:$E$49,,0)</f>
        <v>27.945</v>
      </c>
      <c r="M950">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_xlfn.XLOOKUP(orders!D951,products!$A$1:$A$49,products!$B$1:$B$49,,0)</f>
        <v>Rob</v>
      </c>
      <c r="J951" t="str">
        <f>_xlfn.XLOOKUP(D951,products!$A$1:$A$49,products!$C$1:$C$49,,0)</f>
        <v>L</v>
      </c>
      <c r="K951" s="13">
        <f>_xlfn.XLOOKUP(D951,products!$A$1:$A$49,products!$D$1:$D$49,,0)</f>
        <v>2.5</v>
      </c>
      <c r="L951" s="5">
        <f>_xlfn.XLOOKUP(D951,products!$A$1:$A$49,products!$E$1:$E$49,,0)</f>
        <v>27.484999999999996</v>
      </c>
      <c r="M951">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_xlfn.XLOOKUP(orders!D952,products!$A$1:$A$49,products!$B$1:$B$49,,0)</f>
        <v>Rob</v>
      </c>
      <c r="J952" t="str">
        <f>_xlfn.XLOOKUP(D952,products!$A$1:$A$49,products!$C$1:$C$49,,0)</f>
        <v>L</v>
      </c>
      <c r="K952" s="13">
        <f>_xlfn.XLOOKUP(D952,products!$A$1:$A$49,products!$D$1:$D$49,,0)</f>
        <v>0.2</v>
      </c>
      <c r="L952" s="5">
        <f>_xlfn.XLOOKUP(D952,products!$A$1:$A$49,products!$E$1:$E$49,,0)</f>
        <v>3.5849999999999995</v>
      </c>
      <c r="M952">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_xlfn.XLOOKUP(orders!D953,products!$A$1:$A$49,products!$B$1:$B$49,,0)</f>
        <v>Rob</v>
      </c>
      <c r="J953" t="str">
        <f>_xlfn.XLOOKUP(D953,products!$A$1:$A$49,products!$C$1:$C$49,,0)</f>
        <v>L</v>
      </c>
      <c r="K953" s="13">
        <f>_xlfn.XLOOKUP(D953,products!$A$1:$A$49,products!$D$1:$D$49,,0)</f>
        <v>0.2</v>
      </c>
      <c r="L953" s="5">
        <f>_xlfn.XLOOKUP(D953,products!$A$1:$A$49,products!$E$1:$E$49,,0)</f>
        <v>3.5849999999999995</v>
      </c>
      <c r="M953">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_xlfn.XLOOKUP(orders!D954,products!$A$1:$A$49,products!$B$1:$B$49,,0)</f>
        <v>Ara</v>
      </c>
      <c r="J954" t="str">
        <f>_xlfn.XLOOKUP(D954,products!$A$1:$A$49,products!$C$1:$C$49,,0)</f>
        <v>M</v>
      </c>
      <c r="K954" s="13">
        <f>_xlfn.XLOOKUP(D954,products!$A$1:$A$49,products!$D$1:$D$49,,0)</f>
        <v>1</v>
      </c>
      <c r="L954" s="5">
        <f>_xlfn.XLOOKUP(D954,products!$A$1:$A$49,products!$E$1:$E$49,,0)</f>
        <v>11.25</v>
      </c>
      <c r="M954">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_xlfn.XLOOKUP(orders!D955,products!$A$1:$A$49,products!$B$1:$B$49,,0)</f>
        <v>Ara</v>
      </c>
      <c r="J955" t="str">
        <f>_xlfn.XLOOKUP(D955,products!$A$1:$A$49,products!$C$1:$C$49,,0)</f>
        <v>L</v>
      </c>
      <c r="K955" s="13">
        <f>_xlfn.XLOOKUP(D955,products!$A$1:$A$49,products!$D$1:$D$49,,0)</f>
        <v>0.2</v>
      </c>
      <c r="L955" s="5">
        <f>_xlfn.XLOOKUP(D955,products!$A$1:$A$49,products!$E$1:$E$49,,0)</f>
        <v>3.8849999999999998</v>
      </c>
      <c r="M95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_xlfn.XLOOKUP(orders!D956,products!$A$1:$A$49,products!$B$1:$B$49,,0)</f>
        <v>Exc</v>
      </c>
      <c r="J956" t="str">
        <f>_xlfn.XLOOKUP(D956,products!$A$1:$A$49,products!$C$1:$C$49,,0)</f>
        <v>D</v>
      </c>
      <c r="K956" s="13">
        <f>_xlfn.XLOOKUP(D956,products!$A$1:$A$49,products!$D$1:$D$49,,0)</f>
        <v>2.5</v>
      </c>
      <c r="L956" s="5">
        <f>_xlfn.XLOOKUP(D956,products!$A$1:$A$49,products!$E$1:$E$49,,0)</f>
        <v>27.945</v>
      </c>
      <c r="M956">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_xlfn.XLOOKUP(orders!D957,products!$A$1:$A$49,products!$B$1:$B$49,,0)</f>
        <v>Exc</v>
      </c>
      <c r="J957" t="str">
        <f>_xlfn.XLOOKUP(D957,products!$A$1:$A$49,products!$C$1:$C$49,,0)</f>
        <v>L</v>
      </c>
      <c r="K957" s="13">
        <f>_xlfn.XLOOKUP(D957,products!$A$1:$A$49,products!$D$1:$D$49,,0)</f>
        <v>2.5</v>
      </c>
      <c r="L957" s="5">
        <f>_xlfn.XLOOKUP(D957,products!$A$1:$A$49,products!$E$1:$E$49,,0)</f>
        <v>34.154999999999994</v>
      </c>
      <c r="M957">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_xlfn.XLOOKUP(orders!D958,products!$A$1:$A$49,products!$B$1:$B$49,,0)</f>
        <v>Rob</v>
      </c>
      <c r="J958" t="str">
        <f>_xlfn.XLOOKUP(D958,products!$A$1:$A$49,products!$C$1:$C$49,,0)</f>
        <v>L</v>
      </c>
      <c r="K958" s="13">
        <f>_xlfn.XLOOKUP(D958,products!$A$1:$A$49,products!$D$1:$D$49,,0)</f>
        <v>2.5</v>
      </c>
      <c r="L958" s="5">
        <f>_xlfn.XLOOKUP(D958,products!$A$1:$A$49,products!$E$1:$E$49,,0)</f>
        <v>27.484999999999996</v>
      </c>
      <c r="M958">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_xlfn.XLOOKUP(orders!D959,products!$A$1:$A$49,products!$B$1:$B$49,,0)</f>
        <v>Exc</v>
      </c>
      <c r="J959" t="str">
        <f>_xlfn.XLOOKUP(D959,products!$A$1:$A$49,products!$C$1:$C$49,,0)</f>
        <v>L</v>
      </c>
      <c r="K959" s="13">
        <f>_xlfn.XLOOKUP(D959,products!$A$1:$A$49,products!$D$1:$D$49,,0)</f>
        <v>1</v>
      </c>
      <c r="L959" s="5">
        <f>_xlfn.XLOOKUP(D959,products!$A$1:$A$49,products!$E$1:$E$49,,0)</f>
        <v>14.85</v>
      </c>
      <c r="M959">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_xlfn.XLOOKUP(orders!D960,products!$A$1:$A$49,products!$B$1:$B$49,,0)</f>
        <v>Ara</v>
      </c>
      <c r="J960" t="str">
        <f>_xlfn.XLOOKUP(D960,products!$A$1:$A$49,products!$C$1:$C$49,,0)</f>
        <v>L</v>
      </c>
      <c r="K960" s="13">
        <f>_xlfn.XLOOKUP(D960,products!$A$1:$A$49,products!$D$1:$D$49,,0)</f>
        <v>0.2</v>
      </c>
      <c r="L960" s="5">
        <f>_xlfn.XLOOKUP(D960,products!$A$1:$A$49,products!$E$1:$E$49,,0)</f>
        <v>3.8849999999999998</v>
      </c>
      <c r="M960">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_xlfn.XLOOKUP(orders!D961,products!$A$1:$A$49,products!$B$1:$B$49,,0)</f>
        <v>Lib</v>
      </c>
      <c r="J961" t="str">
        <f>_xlfn.XLOOKUP(D961,products!$A$1:$A$49,products!$C$1:$C$49,,0)</f>
        <v>L</v>
      </c>
      <c r="K961" s="13">
        <f>_xlfn.XLOOKUP(D961,products!$A$1:$A$49,products!$D$1:$D$49,,0)</f>
        <v>0.2</v>
      </c>
      <c r="L961" s="5">
        <f>_xlfn.XLOOKUP(D961,products!$A$1:$A$49,products!$E$1:$E$49,,0)</f>
        <v>4.7549999999999999</v>
      </c>
      <c r="M961">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_xlfn.XLOOKUP(orders!D962,products!$A$1:$A$49,products!$B$1:$B$49,,0)</f>
        <v>Lib</v>
      </c>
      <c r="J962" t="str">
        <f>_xlfn.XLOOKUP(D962,products!$A$1:$A$49,products!$C$1:$C$49,,0)</f>
        <v>L</v>
      </c>
      <c r="K962" s="13">
        <f>_xlfn.XLOOKUP(D962,products!$A$1:$A$49,products!$D$1:$D$49,,0)</f>
        <v>1</v>
      </c>
      <c r="L962" s="5">
        <f>_xlfn.XLOOKUP(D962,products!$A$1:$A$49,products!$E$1:$E$49,,0)</f>
        <v>15.85</v>
      </c>
      <c r="M962">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_xlfn.XLOOKUP(orders!D963,products!$A$1:$A$49,products!$B$1:$B$49,,0)</f>
        <v>Ara</v>
      </c>
      <c r="J963" t="str">
        <f>_xlfn.XLOOKUP(D963,products!$A$1:$A$49,products!$C$1:$C$49,,0)</f>
        <v>D</v>
      </c>
      <c r="K963" s="13">
        <f>_xlfn.XLOOKUP(D963,products!$A$1:$A$49,products!$D$1:$D$49,,0)</f>
        <v>2.5</v>
      </c>
      <c r="L963" s="5">
        <f>_xlfn.XLOOKUP(D963,products!$A$1:$A$49,products!$E$1:$E$49,,0)</f>
        <v>22.884999999999998</v>
      </c>
      <c r="M963">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_xlfn.XLOOKUP(orders!D964,products!$A$1:$A$49,products!$B$1:$B$49,,0)</f>
        <v>Rob</v>
      </c>
      <c r="J964" t="str">
        <f>_xlfn.XLOOKUP(D964,products!$A$1:$A$49,products!$C$1:$C$49,,0)</f>
        <v>D</v>
      </c>
      <c r="K964" s="13">
        <f>_xlfn.XLOOKUP(D964,products!$A$1:$A$49,products!$D$1:$D$49,,0)</f>
        <v>1</v>
      </c>
      <c r="L964" s="5">
        <f>_xlfn.XLOOKUP(D964,products!$A$1:$A$49,products!$E$1:$E$49,,0)</f>
        <v>8.9499999999999993</v>
      </c>
      <c r="M964">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_xlfn.XLOOKUP(orders!D965,products!$A$1:$A$49,products!$B$1:$B$49,,0)</f>
        <v>Rob</v>
      </c>
      <c r="J965" t="str">
        <f>_xlfn.XLOOKUP(D965,products!$A$1:$A$49,products!$C$1:$C$49,,0)</f>
        <v>M</v>
      </c>
      <c r="K965" s="13">
        <f>_xlfn.XLOOKUP(D965,products!$A$1:$A$49,products!$D$1:$D$49,,0)</f>
        <v>0.5</v>
      </c>
      <c r="L965" s="5">
        <f>_xlfn.XLOOKUP(D965,products!$A$1:$A$49,products!$E$1:$E$49,,0)</f>
        <v>5.97</v>
      </c>
      <c r="M96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_xlfn.XLOOKUP(orders!D966,products!$A$1:$A$49,products!$B$1:$B$49,,0)</f>
        <v>Exc</v>
      </c>
      <c r="J966" t="str">
        <f>_xlfn.XLOOKUP(D966,products!$A$1:$A$49,products!$C$1:$C$49,,0)</f>
        <v>L</v>
      </c>
      <c r="K966" s="13">
        <f>_xlfn.XLOOKUP(D966,products!$A$1:$A$49,products!$D$1:$D$49,,0)</f>
        <v>0.2</v>
      </c>
      <c r="L966" s="5">
        <f>_xlfn.XLOOKUP(D966,products!$A$1:$A$49,products!$E$1:$E$49,,0)</f>
        <v>4.4550000000000001</v>
      </c>
      <c r="M966">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_xlfn.XLOOKUP(orders!D967,products!$A$1:$A$49,products!$B$1:$B$49,,0)</f>
        <v>Rob</v>
      </c>
      <c r="J967" t="str">
        <f>_xlfn.XLOOKUP(D967,products!$A$1:$A$49,products!$C$1:$C$49,,0)</f>
        <v>M</v>
      </c>
      <c r="K967" s="13">
        <f>_xlfn.XLOOKUP(D967,products!$A$1:$A$49,products!$D$1:$D$49,,0)</f>
        <v>1</v>
      </c>
      <c r="L967" s="5">
        <f>_xlfn.XLOOKUP(D967,products!$A$1:$A$49,products!$E$1:$E$49,,0)</f>
        <v>9.9499999999999993</v>
      </c>
      <c r="M967">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_xlfn.XLOOKUP(orders!D968,products!$A$1:$A$49,products!$B$1:$B$49,,0)</f>
        <v>Exc</v>
      </c>
      <c r="J968" t="str">
        <f>_xlfn.XLOOKUP(D968,products!$A$1:$A$49,products!$C$1:$C$49,,0)</f>
        <v>L</v>
      </c>
      <c r="K968" s="13">
        <f>_xlfn.XLOOKUP(D968,products!$A$1:$A$49,products!$D$1:$D$49,,0)</f>
        <v>0.5</v>
      </c>
      <c r="L968" s="5">
        <f>_xlfn.XLOOKUP(D968,products!$A$1:$A$49,products!$E$1:$E$49,,0)</f>
        <v>8.91</v>
      </c>
      <c r="M968">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_xlfn.XLOOKUP(orders!D969,products!$A$1:$A$49,products!$B$1:$B$49,,0)</f>
        <v>Rob</v>
      </c>
      <c r="J969" t="str">
        <f>_xlfn.XLOOKUP(D969,products!$A$1:$A$49,products!$C$1:$C$49,,0)</f>
        <v>D</v>
      </c>
      <c r="K969" s="13">
        <f>_xlfn.XLOOKUP(D969,products!$A$1:$A$49,products!$D$1:$D$49,,0)</f>
        <v>0.2</v>
      </c>
      <c r="L969" s="5">
        <f>_xlfn.XLOOKUP(D969,products!$A$1:$A$49,products!$E$1:$E$49,,0)</f>
        <v>2.6849999999999996</v>
      </c>
      <c r="M969">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_xlfn.XLOOKUP(orders!D970,products!$A$1:$A$49,products!$B$1:$B$49,,0)</f>
        <v>Rob</v>
      </c>
      <c r="J970" t="str">
        <f>_xlfn.XLOOKUP(D970,products!$A$1:$A$49,products!$C$1:$C$49,,0)</f>
        <v>M</v>
      </c>
      <c r="K970" s="13">
        <f>_xlfn.XLOOKUP(D970,products!$A$1:$A$49,products!$D$1:$D$49,,0)</f>
        <v>0.2</v>
      </c>
      <c r="L970" s="5">
        <f>_xlfn.XLOOKUP(D970,products!$A$1:$A$49,products!$E$1:$E$49,,0)</f>
        <v>2.9849999999999999</v>
      </c>
      <c r="M970">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_xlfn.XLOOKUP(orders!D971,products!$A$1:$A$49,products!$B$1:$B$49,,0)</f>
        <v>Lib</v>
      </c>
      <c r="J971" t="str">
        <f>_xlfn.XLOOKUP(D971,products!$A$1:$A$49,products!$C$1:$C$49,,0)</f>
        <v>D</v>
      </c>
      <c r="K971" s="13">
        <f>_xlfn.XLOOKUP(D971,products!$A$1:$A$49,products!$D$1:$D$49,,0)</f>
        <v>1</v>
      </c>
      <c r="L971" s="5">
        <f>_xlfn.XLOOKUP(D971,products!$A$1:$A$49,products!$E$1:$E$49,,0)</f>
        <v>12.95</v>
      </c>
      <c r="M971">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_xlfn.XLOOKUP(orders!D972,products!$A$1:$A$49,products!$B$1:$B$49,,0)</f>
        <v>Exc</v>
      </c>
      <c r="J972" t="str">
        <f>_xlfn.XLOOKUP(D972,products!$A$1:$A$49,products!$C$1:$C$49,,0)</f>
        <v>M</v>
      </c>
      <c r="K972" s="13">
        <f>_xlfn.XLOOKUP(D972,products!$A$1:$A$49,products!$D$1:$D$49,,0)</f>
        <v>0.5</v>
      </c>
      <c r="L972" s="5">
        <f>_xlfn.XLOOKUP(D972,products!$A$1:$A$49,products!$E$1:$E$49,,0)</f>
        <v>8.25</v>
      </c>
      <c r="M972">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_xlfn.XLOOKUP(orders!D973,products!$A$1:$A$49,products!$B$1:$B$49,,0)</f>
        <v>Ara</v>
      </c>
      <c r="J973" t="str">
        <f>_xlfn.XLOOKUP(D973,products!$A$1:$A$49,products!$C$1:$C$49,,0)</f>
        <v>L</v>
      </c>
      <c r="K973" s="13">
        <f>_xlfn.XLOOKUP(D973,products!$A$1:$A$49,products!$D$1:$D$49,,0)</f>
        <v>2.5</v>
      </c>
      <c r="L973" s="5">
        <f>_xlfn.XLOOKUP(D973,products!$A$1:$A$49,products!$E$1:$E$49,,0)</f>
        <v>29.784999999999997</v>
      </c>
      <c r="M973">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_xlfn.XLOOKUP(orders!D974,products!$A$1:$A$49,products!$B$1:$B$49,,0)</f>
        <v>Ara</v>
      </c>
      <c r="J974" t="str">
        <f>_xlfn.XLOOKUP(D974,products!$A$1:$A$49,products!$C$1:$C$49,,0)</f>
        <v>L</v>
      </c>
      <c r="K974" s="13">
        <f>_xlfn.XLOOKUP(D974,products!$A$1:$A$49,products!$D$1:$D$49,,0)</f>
        <v>2.5</v>
      </c>
      <c r="L974" s="5">
        <f>_xlfn.XLOOKUP(D974,products!$A$1:$A$49,products!$E$1:$E$49,,0)</f>
        <v>29.784999999999997</v>
      </c>
      <c r="M974">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_xlfn.XLOOKUP(orders!D975,products!$A$1:$A$49,products!$B$1:$B$49,,0)</f>
        <v>Lib</v>
      </c>
      <c r="J975" t="str">
        <f>_xlfn.XLOOKUP(D975,products!$A$1:$A$49,products!$C$1:$C$49,,0)</f>
        <v>M</v>
      </c>
      <c r="K975" s="13">
        <f>_xlfn.XLOOKUP(D975,products!$A$1:$A$49,products!$D$1:$D$49,,0)</f>
        <v>1</v>
      </c>
      <c r="L975" s="5">
        <f>_xlfn.XLOOKUP(D975,products!$A$1:$A$49,products!$E$1:$E$49,,0)</f>
        <v>14.55</v>
      </c>
      <c r="M97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_xlfn.XLOOKUP(orders!D976,products!$A$1:$A$49,products!$B$1:$B$49,,0)</f>
        <v>Rob</v>
      </c>
      <c r="J976" t="str">
        <f>_xlfn.XLOOKUP(D976,products!$A$1:$A$49,products!$C$1:$C$49,,0)</f>
        <v>D</v>
      </c>
      <c r="K976" s="13">
        <f>_xlfn.XLOOKUP(D976,products!$A$1:$A$49,products!$D$1:$D$49,,0)</f>
        <v>0.5</v>
      </c>
      <c r="L976" s="5">
        <f>_xlfn.XLOOKUP(D976,products!$A$1:$A$49,products!$E$1:$E$49,,0)</f>
        <v>5.3699999999999992</v>
      </c>
      <c r="M976">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_xlfn.XLOOKUP(orders!D977,products!$A$1:$A$49,products!$B$1:$B$49,,0)</f>
        <v>Ara</v>
      </c>
      <c r="J977" t="str">
        <f>_xlfn.XLOOKUP(D977,products!$A$1:$A$49,products!$C$1:$C$49,,0)</f>
        <v>D</v>
      </c>
      <c r="K977" s="13">
        <f>_xlfn.XLOOKUP(D977,products!$A$1:$A$49,products!$D$1:$D$49,,0)</f>
        <v>0.2</v>
      </c>
      <c r="L977" s="5">
        <f>_xlfn.XLOOKUP(D977,products!$A$1:$A$49,products!$E$1:$E$49,,0)</f>
        <v>2.9849999999999999</v>
      </c>
      <c r="M977">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_xlfn.XLOOKUP(orders!D978,products!$A$1:$A$49,products!$B$1:$B$49,,0)</f>
        <v>Rob</v>
      </c>
      <c r="J978" t="str">
        <f>_xlfn.XLOOKUP(D978,products!$A$1:$A$49,products!$C$1:$C$49,,0)</f>
        <v>L</v>
      </c>
      <c r="K978" s="13">
        <f>_xlfn.XLOOKUP(D978,products!$A$1:$A$49,products!$D$1:$D$49,,0)</f>
        <v>2.5</v>
      </c>
      <c r="L978" s="5">
        <f>_xlfn.XLOOKUP(D978,products!$A$1:$A$49,products!$E$1:$E$49,,0)</f>
        <v>27.484999999999996</v>
      </c>
      <c r="M978">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_xlfn.XLOOKUP(orders!D979,products!$A$1:$A$49,products!$B$1:$B$49,,0)</f>
        <v>Rob</v>
      </c>
      <c r="J979" t="str">
        <f>_xlfn.XLOOKUP(D979,products!$A$1:$A$49,products!$C$1:$C$49,,0)</f>
        <v>L</v>
      </c>
      <c r="K979" s="13">
        <f>_xlfn.XLOOKUP(D979,products!$A$1:$A$49,products!$D$1:$D$49,,0)</f>
        <v>1</v>
      </c>
      <c r="L979" s="5">
        <f>_xlfn.XLOOKUP(D979,products!$A$1:$A$49,products!$E$1:$E$49,,0)</f>
        <v>11.95</v>
      </c>
      <c r="M979">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_xlfn.XLOOKUP(orders!D980,products!$A$1:$A$49,products!$B$1:$B$49,,0)</f>
        <v>Ara</v>
      </c>
      <c r="J980" t="str">
        <f>_xlfn.XLOOKUP(D980,products!$A$1:$A$49,products!$C$1:$C$49,,0)</f>
        <v>L</v>
      </c>
      <c r="K980" s="13">
        <f>_xlfn.XLOOKUP(D980,products!$A$1:$A$49,products!$D$1:$D$49,,0)</f>
        <v>0.5</v>
      </c>
      <c r="L980" s="5">
        <f>_xlfn.XLOOKUP(D980,products!$A$1:$A$49,products!$E$1:$E$49,,0)</f>
        <v>7.77</v>
      </c>
      <c r="M980">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_xlfn.XLOOKUP(orders!D981,products!$A$1:$A$49,products!$B$1:$B$49,,0)</f>
        <v>Rob</v>
      </c>
      <c r="J981" t="str">
        <f>_xlfn.XLOOKUP(D981,products!$A$1:$A$49,products!$C$1:$C$49,,0)</f>
        <v>D</v>
      </c>
      <c r="K981" s="13">
        <f>_xlfn.XLOOKUP(D981,products!$A$1:$A$49,products!$D$1:$D$49,,0)</f>
        <v>0.5</v>
      </c>
      <c r="L981" s="5">
        <f>_xlfn.XLOOKUP(D981,products!$A$1:$A$49,products!$E$1:$E$49,,0)</f>
        <v>5.3699999999999992</v>
      </c>
      <c r="M981">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_xlfn.XLOOKUP(orders!D982,products!$A$1:$A$49,products!$B$1:$B$49,,0)</f>
        <v>Exc</v>
      </c>
      <c r="J982" t="str">
        <f>_xlfn.XLOOKUP(D982,products!$A$1:$A$49,products!$C$1:$C$49,,0)</f>
        <v>D</v>
      </c>
      <c r="K982" s="13">
        <f>_xlfn.XLOOKUP(D982,products!$A$1:$A$49,products!$D$1:$D$49,,0)</f>
        <v>2.5</v>
      </c>
      <c r="L982" s="5">
        <f>_xlfn.XLOOKUP(D982,products!$A$1:$A$49,products!$E$1:$E$49,,0)</f>
        <v>27.945</v>
      </c>
      <c r="M982">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_xlfn.XLOOKUP(orders!D983,products!$A$1:$A$49,products!$B$1:$B$49,,0)</f>
        <v>Exc</v>
      </c>
      <c r="J983" t="str">
        <f>_xlfn.XLOOKUP(D983,products!$A$1:$A$49,products!$C$1:$C$49,,0)</f>
        <v>D</v>
      </c>
      <c r="K983" s="13">
        <f>_xlfn.XLOOKUP(D983,products!$A$1:$A$49,products!$D$1:$D$49,,0)</f>
        <v>0.2</v>
      </c>
      <c r="L983" s="5">
        <f>_xlfn.XLOOKUP(D983,products!$A$1:$A$49,products!$E$1:$E$49,,0)</f>
        <v>3.645</v>
      </c>
      <c r="M983">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_xlfn.XLOOKUP(orders!D984,products!$A$1:$A$49,products!$B$1:$B$49,,0)</f>
        <v>Rob</v>
      </c>
      <c r="J984" t="str">
        <f>_xlfn.XLOOKUP(D984,products!$A$1:$A$49,products!$C$1:$C$49,,0)</f>
        <v>L</v>
      </c>
      <c r="K984" s="13">
        <f>_xlfn.XLOOKUP(D984,products!$A$1:$A$49,products!$D$1:$D$49,,0)</f>
        <v>1</v>
      </c>
      <c r="L984" s="5">
        <f>_xlfn.XLOOKUP(D984,products!$A$1:$A$49,products!$E$1:$E$49,,0)</f>
        <v>11.95</v>
      </c>
      <c r="M984">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_xlfn.XLOOKUP(orders!D985,products!$A$1:$A$49,products!$B$1:$B$49,,0)</f>
        <v>Ara</v>
      </c>
      <c r="J985" t="str">
        <f>_xlfn.XLOOKUP(D985,products!$A$1:$A$49,products!$C$1:$C$49,,0)</f>
        <v>M</v>
      </c>
      <c r="K985" s="13">
        <f>_xlfn.XLOOKUP(D985,products!$A$1:$A$49,products!$D$1:$D$49,,0)</f>
        <v>0.2</v>
      </c>
      <c r="L985" s="5">
        <f>_xlfn.XLOOKUP(D985,products!$A$1:$A$49,products!$E$1:$E$49,,0)</f>
        <v>3.375</v>
      </c>
      <c r="M98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_xlfn.XLOOKUP(orders!D986,products!$A$1:$A$49,products!$B$1:$B$49,,0)</f>
        <v>Exc</v>
      </c>
      <c r="J986" t="str">
        <f>_xlfn.XLOOKUP(D986,products!$A$1:$A$49,products!$C$1:$C$49,,0)</f>
        <v>M</v>
      </c>
      <c r="K986" s="13">
        <f>_xlfn.XLOOKUP(D986,products!$A$1:$A$49,products!$D$1:$D$49,,0)</f>
        <v>2.5</v>
      </c>
      <c r="L986" s="5">
        <f>_xlfn.XLOOKUP(D986,products!$A$1:$A$49,products!$E$1:$E$49,,0)</f>
        <v>31.624999999999996</v>
      </c>
      <c r="M986">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_xlfn.XLOOKUP(orders!D987,products!$A$1:$A$49,products!$B$1:$B$49,,0)</f>
        <v>Rob</v>
      </c>
      <c r="J987" t="str">
        <f>_xlfn.XLOOKUP(D987,products!$A$1:$A$49,products!$C$1:$C$49,,0)</f>
        <v>L</v>
      </c>
      <c r="K987" s="13">
        <f>_xlfn.XLOOKUP(D987,products!$A$1:$A$49,products!$D$1:$D$49,,0)</f>
        <v>1</v>
      </c>
      <c r="L987" s="5">
        <f>_xlfn.XLOOKUP(D987,products!$A$1:$A$49,products!$E$1:$E$49,,0)</f>
        <v>11.95</v>
      </c>
      <c r="M987">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_xlfn.XLOOKUP(orders!D988,products!$A$1:$A$49,products!$B$1:$B$49,,0)</f>
        <v>Lib</v>
      </c>
      <c r="J988" t="str">
        <f>_xlfn.XLOOKUP(D988,products!$A$1:$A$49,products!$C$1:$C$49,,0)</f>
        <v>M</v>
      </c>
      <c r="K988" s="13">
        <f>_xlfn.XLOOKUP(D988,products!$A$1:$A$49,products!$D$1:$D$49,,0)</f>
        <v>2.5</v>
      </c>
      <c r="L988" s="5">
        <f>_xlfn.XLOOKUP(D988,products!$A$1:$A$49,products!$E$1:$E$49,,0)</f>
        <v>33.464999999999996</v>
      </c>
      <c r="M988">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_xlfn.XLOOKUP(orders!D989,products!$A$1:$A$49,products!$B$1:$B$49,,0)</f>
        <v>Ara</v>
      </c>
      <c r="J989" t="str">
        <f>_xlfn.XLOOKUP(D989,products!$A$1:$A$49,products!$C$1:$C$49,,0)</f>
        <v>D</v>
      </c>
      <c r="K989" s="13">
        <f>_xlfn.XLOOKUP(D989,products!$A$1:$A$49,products!$D$1:$D$49,,0)</f>
        <v>0.5</v>
      </c>
      <c r="L989" s="5">
        <f>_xlfn.XLOOKUP(D989,products!$A$1:$A$49,products!$E$1:$E$49,,0)</f>
        <v>5.97</v>
      </c>
      <c r="M989">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_xlfn.XLOOKUP(orders!D990,products!$A$1:$A$49,products!$B$1:$B$49,,0)</f>
        <v>Rob</v>
      </c>
      <c r="J990" t="str">
        <f>_xlfn.XLOOKUP(D990,products!$A$1:$A$49,products!$C$1:$C$49,,0)</f>
        <v>M</v>
      </c>
      <c r="K990" s="13">
        <f>_xlfn.XLOOKUP(D990,products!$A$1:$A$49,products!$D$1:$D$49,,0)</f>
        <v>1</v>
      </c>
      <c r="L990" s="5">
        <f>_xlfn.XLOOKUP(D990,products!$A$1:$A$49,products!$E$1:$E$49,,0)</f>
        <v>9.9499999999999993</v>
      </c>
      <c r="M990">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_xlfn.XLOOKUP(orders!D991,products!$A$1:$A$49,products!$B$1:$B$49,,0)</f>
        <v>Ara</v>
      </c>
      <c r="J991" t="str">
        <f>_xlfn.XLOOKUP(D991,products!$A$1:$A$49,products!$C$1:$C$49,,0)</f>
        <v>M</v>
      </c>
      <c r="K991" s="13">
        <f>_xlfn.XLOOKUP(D991,products!$A$1:$A$49,products!$D$1:$D$49,,0)</f>
        <v>2.5</v>
      </c>
      <c r="L991" s="5">
        <f>_xlfn.XLOOKUP(D991,products!$A$1:$A$49,products!$E$1:$E$49,,0)</f>
        <v>25.874999999999996</v>
      </c>
      <c r="M991">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_xlfn.XLOOKUP(orders!D992,products!$A$1:$A$49,products!$B$1:$B$49,,0)</f>
        <v>Exc</v>
      </c>
      <c r="J992" t="str">
        <f>_xlfn.XLOOKUP(D992,products!$A$1:$A$49,products!$C$1:$C$49,,0)</f>
        <v>D</v>
      </c>
      <c r="K992" s="13">
        <f>_xlfn.XLOOKUP(D992,products!$A$1:$A$49,products!$D$1:$D$49,,0)</f>
        <v>0.2</v>
      </c>
      <c r="L992" s="5">
        <f>_xlfn.XLOOKUP(D992,products!$A$1:$A$49,products!$E$1:$E$49,,0)</f>
        <v>3.645</v>
      </c>
      <c r="M992">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_xlfn.XLOOKUP(orders!D993,products!$A$1:$A$49,products!$B$1:$B$49,,0)</f>
        <v>Lib</v>
      </c>
      <c r="J993" t="str">
        <f>_xlfn.XLOOKUP(D993,products!$A$1:$A$49,products!$C$1:$C$49,,0)</f>
        <v>D</v>
      </c>
      <c r="K993" s="13">
        <f>_xlfn.XLOOKUP(D993,products!$A$1:$A$49,products!$D$1:$D$49,,0)</f>
        <v>0.5</v>
      </c>
      <c r="L993" s="5">
        <f>_xlfn.XLOOKUP(D993,products!$A$1:$A$49,products!$E$1:$E$49,,0)</f>
        <v>7.77</v>
      </c>
      <c r="M993">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_xlfn.XLOOKUP(orders!D994,products!$A$1:$A$49,products!$B$1:$B$49,,0)</f>
        <v>Lib</v>
      </c>
      <c r="J994" t="str">
        <f>_xlfn.XLOOKUP(D994,products!$A$1:$A$49,products!$C$1:$C$49,,0)</f>
        <v>L</v>
      </c>
      <c r="K994" s="13">
        <f>_xlfn.XLOOKUP(D994,products!$A$1:$A$49,products!$D$1:$D$49,,0)</f>
        <v>2.5</v>
      </c>
      <c r="L994" s="5">
        <f>_xlfn.XLOOKUP(D994,products!$A$1:$A$49,products!$E$1:$E$49,,0)</f>
        <v>36.454999999999998</v>
      </c>
      <c r="M994">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_xlfn.XLOOKUP(orders!D995,products!$A$1:$A$49,products!$B$1:$B$49,,0)</f>
        <v>Ara</v>
      </c>
      <c r="J995" t="str">
        <f>_xlfn.XLOOKUP(D995,products!$A$1:$A$49,products!$C$1:$C$49,,0)</f>
        <v>L</v>
      </c>
      <c r="K995" s="13">
        <f>_xlfn.XLOOKUP(D995,products!$A$1:$A$49,products!$D$1:$D$49,,0)</f>
        <v>1</v>
      </c>
      <c r="L995" s="5">
        <f>_xlfn.XLOOKUP(D995,products!$A$1:$A$49,products!$E$1:$E$49,,0)</f>
        <v>12.95</v>
      </c>
      <c r="M99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_xlfn.XLOOKUP(orders!D996,products!$A$1:$A$49,products!$B$1:$B$49,,0)</f>
        <v>Ara</v>
      </c>
      <c r="J996" t="str">
        <f>_xlfn.XLOOKUP(D996,products!$A$1:$A$49,products!$C$1:$C$49,,0)</f>
        <v>D</v>
      </c>
      <c r="K996" s="13">
        <f>_xlfn.XLOOKUP(D996,products!$A$1:$A$49,products!$D$1:$D$49,,0)</f>
        <v>0.2</v>
      </c>
      <c r="L996" s="5">
        <f>_xlfn.XLOOKUP(D996,products!$A$1:$A$49,products!$E$1:$E$49,,0)</f>
        <v>2.9849999999999999</v>
      </c>
      <c r="M996">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_xlfn.XLOOKUP(orders!D997,products!$A$1:$A$49,products!$B$1:$B$49,,0)</f>
        <v>Rob</v>
      </c>
      <c r="J997" t="str">
        <f>_xlfn.XLOOKUP(D997,products!$A$1:$A$49,products!$C$1:$C$49,,0)</f>
        <v>L</v>
      </c>
      <c r="K997" s="13">
        <f>_xlfn.XLOOKUP(D997,products!$A$1:$A$49,products!$D$1:$D$49,,0)</f>
        <v>2.5</v>
      </c>
      <c r="L997" s="5">
        <f>_xlfn.XLOOKUP(D997,products!$A$1:$A$49,products!$E$1:$E$49,,0)</f>
        <v>27.484999999999996</v>
      </c>
      <c r="M997">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_xlfn.XLOOKUP(orders!D998,products!$A$1:$A$49,products!$B$1:$B$49,,0)</f>
        <v>Rob</v>
      </c>
      <c r="J998" t="str">
        <f>_xlfn.XLOOKUP(D998,products!$A$1:$A$49,products!$C$1:$C$49,,0)</f>
        <v>M</v>
      </c>
      <c r="K998" s="13">
        <f>_xlfn.XLOOKUP(D998,products!$A$1:$A$49,products!$D$1:$D$49,,0)</f>
        <v>0.5</v>
      </c>
      <c r="L998" s="5">
        <f>_xlfn.XLOOKUP(D998,products!$A$1:$A$49,products!$E$1:$E$49,,0)</f>
        <v>5.97</v>
      </c>
      <c r="M998">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_xlfn.XLOOKUP(orders!D999,products!$A$1:$A$49,products!$B$1:$B$49,,0)</f>
        <v>Ara</v>
      </c>
      <c r="J999" t="str">
        <f>_xlfn.XLOOKUP(D999,products!$A$1:$A$49,products!$C$1:$C$49,,0)</f>
        <v>M</v>
      </c>
      <c r="K999" s="13">
        <f>_xlfn.XLOOKUP(D999,products!$A$1:$A$49,products!$D$1:$D$49,,0)</f>
        <v>0.5</v>
      </c>
      <c r="L999" s="5">
        <f>_xlfn.XLOOKUP(D999,products!$A$1:$A$49,products!$E$1:$E$49,,0)</f>
        <v>6.75</v>
      </c>
      <c r="M999">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_xlfn.XLOOKUP(orders!D1000,products!$A$1:$A$49,products!$B$1:$B$49,,0)</f>
        <v>Ara</v>
      </c>
      <c r="J1000" t="str">
        <f>_xlfn.XLOOKUP(D1000,products!$A$1:$A$49,products!$C$1:$C$49,,0)</f>
        <v>D</v>
      </c>
      <c r="K1000" s="13">
        <f>_xlfn.XLOOKUP(D1000,products!$A$1:$A$49,products!$D$1:$D$49,,0)</f>
        <v>1</v>
      </c>
      <c r="L1000" s="5">
        <f>_xlfn.XLOOKUP(D1000,products!$A$1:$A$49,products!$E$1:$E$49,,0)</f>
        <v>9.9499999999999993</v>
      </c>
      <c r="M1000">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_xlfn.XLOOKUP(orders!D1001,products!$A$1:$A$49,products!$B$1:$B$49,,0)</f>
        <v>Exc</v>
      </c>
      <c r="J1001" t="str">
        <f>_xlfn.XLOOKUP(D1001,products!$A$1:$A$49,products!$C$1:$C$49,,0)</f>
        <v>M</v>
      </c>
      <c r="K1001" s="13">
        <f>_xlfn.XLOOKUP(D1001,products!$A$1:$A$49,products!$D$1:$D$49,,0)</f>
        <v>0.2</v>
      </c>
      <c r="L1001" s="5">
        <f>_xlfn.XLOOKUP(D1001,products!$A$1:$A$49,products!$E$1:$E$49,,0)</f>
        <v>4.125</v>
      </c>
      <c r="M1001">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zoomScale="58" workbookViewId="0">
      <selection activeCell="XES11" sqref="I11:XES1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TOP5Customers</vt:lpstr>
      <vt:lpstr>CountryBarChart</vt:lpstr>
      <vt:lpstr>TotalSales</vt:lpstr>
      <vt:lpstr>orders</vt:lpstr>
      <vt:lpstr>customers</vt:lpstr>
      <vt:lpstr>products</vt:lpstr>
      <vt:lps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Alika</dc:creator>
  <cp:keywords/>
  <dc:description/>
  <cp:lastModifiedBy>Alika Nindita</cp:lastModifiedBy>
  <cp:revision/>
  <dcterms:created xsi:type="dcterms:W3CDTF">2022-11-26T09:51:45Z</dcterms:created>
  <dcterms:modified xsi:type="dcterms:W3CDTF">2026-06-10T06:37:56Z</dcterms:modified>
  <cp:category/>
  <cp:contentStatus/>
</cp:coreProperties>
</file>